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" sheetId="1" r:id="rId5"/>
    <sheet state="visible" name="SPORTS PROGRAM LIST" sheetId="2" r:id="rId6"/>
    <sheet state="visible" name="STAGE PROGRAM LIST" sheetId="3" r:id="rId7"/>
    <sheet state="visible" name="NON-STAGE PROGRAM LIST" sheetId="4" r:id="rId8"/>
    <sheet state="visible" name="MASTER LIST" sheetId="5" r:id="rId9"/>
    <sheet state="visible" name="PROGRAM_DIRECTORY" sheetId="6" r:id="rId10"/>
    <sheet state="visible" name="REGISTRATION_DESK" sheetId="7" r:id="rId11"/>
  </sheets>
  <definedNames/>
  <calcPr/>
</workbook>
</file>

<file path=xl/sharedStrings.xml><?xml version="1.0" encoding="utf-8"?>
<sst xmlns="http://schemas.openxmlformats.org/spreadsheetml/2006/main" count="5290" uniqueCount="953">
  <si>
    <t>SPORTS PROGRAM LIST</t>
  </si>
  <si>
    <t>STAGE PROGRAM LIST</t>
  </si>
  <si>
    <t>BIDĀYAH</t>
  </si>
  <si>
    <t>NON-STAGE PROGRAM LIST</t>
  </si>
  <si>
    <t>ʾŪLĀ</t>
  </si>
  <si>
    <t>THĀNIYAH</t>
  </si>
  <si>
    <t>ŪLĀ</t>
  </si>
  <si>
    <t>THĀNAWIYYAH</t>
  </si>
  <si>
    <t>ʿĀLIYAH</t>
  </si>
  <si>
    <t>KULLIYYAH</t>
  </si>
  <si>
    <t>Code</t>
  </si>
  <si>
    <t>Programme Name</t>
  </si>
  <si>
    <t>No. of Participants</t>
  </si>
  <si>
    <t>BS1</t>
  </si>
  <si>
    <t>QIRA'ATH</t>
  </si>
  <si>
    <t>BSP1</t>
  </si>
  <si>
    <t>100M Running</t>
  </si>
  <si>
    <t>US1</t>
  </si>
  <si>
    <t>QIRA'AH</t>
  </si>
  <si>
    <t>TS1</t>
  </si>
  <si>
    <t>HIFZ &amp; QIRA'AH</t>
  </si>
  <si>
    <t>TWS1</t>
  </si>
  <si>
    <t>AS1</t>
  </si>
  <si>
    <t>USP1</t>
  </si>
  <si>
    <t>KHUTBAH</t>
  </si>
  <si>
    <t>KS1</t>
  </si>
  <si>
    <t>TSP1</t>
  </si>
  <si>
    <t>QAWWALI URD</t>
  </si>
  <si>
    <t>200M Running</t>
  </si>
  <si>
    <t>1*7</t>
  </si>
  <si>
    <t>SI NO</t>
  </si>
  <si>
    <t>TWSP1</t>
  </si>
  <si>
    <t>BS2</t>
  </si>
  <si>
    <t>HIFZ</t>
  </si>
  <si>
    <t>ASP1</t>
  </si>
  <si>
    <t>US2</t>
  </si>
  <si>
    <t>400M Running</t>
  </si>
  <si>
    <t>KSP1</t>
  </si>
  <si>
    <t>TS2</t>
  </si>
  <si>
    <t>WA'Z</t>
  </si>
  <si>
    <t>Football</t>
  </si>
  <si>
    <t>TWS2</t>
  </si>
  <si>
    <t>7 (ALY +TWY)</t>
  </si>
  <si>
    <t>AS2</t>
  </si>
  <si>
    <t>BSP2</t>
  </si>
  <si>
    <t>Long Jump</t>
  </si>
  <si>
    <t>KS2</t>
  </si>
  <si>
    <t>SAMA'</t>
  </si>
  <si>
    <t>USP2</t>
  </si>
  <si>
    <t>1*3</t>
  </si>
  <si>
    <t>BS3</t>
  </si>
  <si>
    <t>TSP2</t>
  </si>
  <si>
    <t>ADHAN</t>
  </si>
  <si>
    <t>US3</t>
  </si>
  <si>
    <t>TWSP2</t>
  </si>
  <si>
    <t>SONG MLM</t>
  </si>
  <si>
    <t>TS3</t>
  </si>
  <si>
    <t>ASP2</t>
  </si>
  <si>
    <t>BHAKTHI GANAM</t>
  </si>
  <si>
    <t>TWS3</t>
  </si>
  <si>
    <t>KSP2</t>
  </si>
  <si>
    <t>SONG URD</t>
  </si>
  <si>
    <t>Volleyball</t>
  </si>
  <si>
    <t>7( ALY +TWY)</t>
  </si>
  <si>
    <t>AS3</t>
  </si>
  <si>
    <t>LECTURING ENG</t>
  </si>
  <si>
    <t>BSP3</t>
  </si>
  <si>
    <t>4 × 100M Relay</t>
  </si>
  <si>
    <t>KS3</t>
  </si>
  <si>
    <t>MEHFILE ISHQ</t>
  </si>
  <si>
    <t>USP3</t>
  </si>
  <si>
    <t>BS4</t>
  </si>
  <si>
    <t>TSP3</t>
  </si>
  <si>
    <t>TWSP3</t>
  </si>
  <si>
    <t>ASP3</t>
  </si>
  <si>
    <t>KSP3</t>
  </si>
  <si>
    <t>Cricket</t>
  </si>
  <si>
    <t>US4</t>
  </si>
  <si>
    <t>6( ALY +TWY)</t>
  </si>
  <si>
    <t>SONG ENG</t>
  </si>
  <si>
    <t>BSP4</t>
  </si>
  <si>
    <t>TS4</t>
  </si>
  <si>
    <t>Lemon &amp; Spoon Race</t>
  </si>
  <si>
    <t>USP4</t>
  </si>
  <si>
    <t>TWS4</t>
  </si>
  <si>
    <t>Sack Race</t>
  </si>
  <si>
    <t>NASHID ARB</t>
  </si>
  <si>
    <t>TSP4</t>
  </si>
  <si>
    <t>AS4</t>
  </si>
  <si>
    <t>NASHEED ARB</t>
  </si>
  <si>
    <t>TWSP4</t>
  </si>
  <si>
    <t>KS4</t>
  </si>
  <si>
    <t>Shootout</t>
  </si>
  <si>
    <t>DEBATE ENGLISH</t>
  </si>
  <si>
    <t>1*2</t>
  </si>
  <si>
    <t>ASP4</t>
  </si>
  <si>
    <t>AD NO</t>
  </si>
  <si>
    <t>BS5</t>
  </si>
  <si>
    <t>SONG ARB</t>
  </si>
  <si>
    <t>KSP4</t>
  </si>
  <si>
    <t>Chess</t>
  </si>
  <si>
    <t>US5</t>
  </si>
  <si>
    <t>BSP5</t>
  </si>
  <si>
    <t>TS5</t>
  </si>
  <si>
    <t>Seed and Needle</t>
  </si>
  <si>
    <t>USP5</t>
  </si>
  <si>
    <t>TWS5</t>
  </si>
  <si>
    <t>NAME</t>
  </si>
  <si>
    <t>SPEECH URD</t>
  </si>
  <si>
    <t>TSP5</t>
  </si>
  <si>
    <t>AS5</t>
  </si>
  <si>
    <t>MAPPILAPPATTU</t>
  </si>
  <si>
    <t>BNS1</t>
  </si>
  <si>
    <t>TWSP5</t>
  </si>
  <si>
    <t>KS5</t>
  </si>
  <si>
    <t>Push Up</t>
  </si>
  <si>
    <t>DEBATE URDU</t>
  </si>
  <si>
    <t>1*4</t>
  </si>
  <si>
    <t>ASP5</t>
  </si>
  <si>
    <t>TEAM</t>
  </si>
  <si>
    <t>BS6</t>
  </si>
  <si>
    <t>VOCABULARY</t>
  </si>
  <si>
    <t>US6</t>
  </si>
  <si>
    <t>BSP6</t>
  </si>
  <si>
    <t>TS6</t>
  </si>
  <si>
    <t>CLASS</t>
  </si>
  <si>
    <t>USP6</t>
  </si>
  <si>
    <t>TWS6</t>
  </si>
  <si>
    <t>SPEECH ARB</t>
  </si>
  <si>
    <t>TSP6</t>
  </si>
  <si>
    <t>AS6</t>
  </si>
  <si>
    <t>Badminton</t>
  </si>
  <si>
    <t>UNS1</t>
  </si>
  <si>
    <t>KAVIYARANG</t>
  </si>
  <si>
    <t>CATEGARY</t>
  </si>
  <si>
    <t>TWSP6</t>
  </si>
  <si>
    <t>KS6</t>
  </si>
  <si>
    <t>Plank</t>
  </si>
  <si>
    <t>SUDOKU</t>
  </si>
  <si>
    <t>MUSHA'ARAH</t>
  </si>
  <si>
    <t>1*5</t>
  </si>
  <si>
    <t>ASP6</t>
  </si>
  <si>
    <t>BS7</t>
  </si>
  <si>
    <t>SPEECH MLM</t>
  </si>
  <si>
    <t>TNS1</t>
  </si>
  <si>
    <t>US7</t>
  </si>
  <si>
    <t>BSP7</t>
  </si>
  <si>
    <t>SENTENCE TRANSLATION</t>
  </si>
  <si>
    <t>Frog Jump</t>
  </si>
  <si>
    <t>TS7</t>
  </si>
  <si>
    <t>USP7</t>
  </si>
  <si>
    <t>TWS7</t>
  </si>
  <si>
    <t>TADRIS MLM</t>
  </si>
  <si>
    <t>TSP7</t>
  </si>
  <si>
    <t>TWNS1</t>
  </si>
  <si>
    <t>AS7</t>
  </si>
  <si>
    <t>JUNCTION SPEECH MLM</t>
  </si>
  <si>
    <t>TWSP7</t>
  </si>
  <si>
    <t>TRANSLATION TRILINGUAL</t>
  </si>
  <si>
    <t>Juggling</t>
  </si>
  <si>
    <t>KS7</t>
  </si>
  <si>
    <t>FATWA COUNCIL</t>
  </si>
  <si>
    <t>ASP7</t>
  </si>
  <si>
    <t>ANS1</t>
  </si>
  <si>
    <t>BS8</t>
  </si>
  <si>
    <t>SPEECH ENG</t>
  </si>
  <si>
    <t>MR. TRANSLATOR</t>
  </si>
  <si>
    <t>US8</t>
  </si>
  <si>
    <t>BSP8</t>
  </si>
  <si>
    <t>Water Filling Single</t>
  </si>
  <si>
    <t>TS8</t>
  </si>
  <si>
    <t>USP8</t>
  </si>
  <si>
    <t>KNS1</t>
  </si>
  <si>
    <t>Biscut Eating</t>
  </si>
  <si>
    <t>TWS8</t>
  </si>
  <si>
    <t>TSP8</t>
  </si>
  <si>
    <t>DIGITAL MAGAZINE</t>
  </si>
  <si>
    <t>INSPIRING TALK ENG</t>
  </si>
  <si>
    <t>AS8</t>
  </si>
  <si>
    <t>TWSP8</t>
  </si>
  <si>
    <t>-</t>
  </si>
  <si>
    <t>POLITICAL SATIRE MLM</t>
  </si>
  <si>
    <t>Crossbar Challenge</t>
  </si>
  <si>
    <t>KS8</t>
  </si>
  <si>
    <t>ASP8</t>
  </si>
  <si>
    <t>MUNAZARAH</t>
  </si>
  <si>
    <t>Throw to stump</t>
  </si>
  <si>
    <t>BNS2</t>
  </si>
  <si>
    <t>MUHAMMED ABDUL SALEEM K</t>
  </si>
  <si>
    <t>BS9</t>
  </si>
  <si>
    <t>GK QUIZ</t>
  </si>
  <si>
    <t>BSP9</t>
  </si>
  <si>
    <t>US9</t>
  </si>
  <si>
    <t>UNS2</t>
  </si>
  <si>
    <t>USP9</t>
  </si>
  <si>
    <t>TEAM C</t>
  </si>
  <si>
    <t>MEMORY TEST</t>
  </si>
  <si>
    <t>TS9</t>
  </si>
  <si>
    <t>TSP9</t>
  </si>
  <si>
    <t>TWS9</t>
  </si>
  <si>
    <t>GENERAL SPEECH</t>
  </si>
  <si>
    <t>TWSP9</t>
  </si>
  <si>
    <t>TNS2</t>
  </si>
  <si>
    <t>AS9</t>
  </si>
  <si>
    <t>ACADEMIC TALK ENG</t>
  </si>
  <si>
    <t>ASP9</t>
  </si>
  <si>
    <t>ACRYLIC PAINTING</t>
  </si>
  <si>
    <t>KS9</t>
  </si>
  <si>
    <t>Pot breaking</t>
  </si>
  <si>
    <t>BURDHA</t>
  </si>
  <si>
    <t>1*6</t>
  </si>
  <si>
    <t>TWNS2</t>
  </si>
  <si>
    <t>BSP10</t>
  </si>
  <si>
    <t>Sweet Pick-Up</t>
  </si>
  <si>
    <t>SCIENCE MASTER</t>
  </si>
  <si>
    <t>BS10</t>
  </si>
  <si>
    <t>USP10</t>
  </si>
  <si>
    <t>ANS2</t>
  </si>
  <si>
    <t>US10</t>
  </si>
  <si>
    <t>TSP10</t>
  </si>
  <si>
    <t>AL 'ARABI</t>
  </si>
  <si>
    <t>TS10</t>
  </si>
  <si>
    <t>TWSP10</t>
  </si>
  <si>
    <t>TWS10</t>
  </si>
  <si>
    <t>KNS2</t>
  </si>
  <si>
    <t>ANNOUNCEMENT</t>
  </si>
  <si>
    <t>ASP10</t>
  </si>
  <si>
    <t>Pull Up</t>
  </si>
  <si>
    <t>AS10</t>
  </si>
  <si>
    <t>PHOTO ESSAY</t>
  </si>
  <si>
    <t>JOB INTERVIEW</t>
  </si>
  <si>
    <t>BSP11</t>
  </si>
  <si>
    <t>Balloon Breaking</t>
  </si>
  <si>
    <t>BNS3</t>
  </si>
  <si>
    <t>USP11</t>
  </si>
  <si>
    <t>TSP11</t>
  </si>
  <si>
    <t>Slow Race</t>
  </si>
  <si>
    <t>BS11</t>
  </si>
  <si>
    <t>UNS3</t>
  </si>
  <si>
    <t>TWSP11</t>
  </si>
  <si>
    <t>US11</t>
  </si>
  <si>
    <t>ASP11</t>
  </si>
  <si>
    <t>TS11</t>
  </si>
  <si>
    <t>Arm Wrestling</t>
  </si>
  <si>
    <t>PADHYAPARAYANAM</t>
  </si>
  <si>
    <t>TNS3</t>
  </si>
  <si>
    <t>TWS11</t>
  </si>
  <si>
    <t>GD MLM</t>
  </si>
  <si>
    <t>ESSAY MLM</t>
  </si>
  <si>
    <t>AS11</t>
  </si>
  <si>
    <t>BSP12</t>
  </si>
  <si>
    <t>DOCUMENTARY NARRATION ARB</t>
  </si>
  <si>
    <t>Chair Play</t>
  </si>
  <si>
    <t>USP12</t>
  </si>
  <si>
    <t>TWNS3</t>
  </si>
  <si>
    <t>Water Filling Group</t>
  </si>
  <si>
    <t>BS12</t>
  </si>
  <si>
    <t>MANIPULATION POSTER</t>
  </si>
  <si>
    <t>TSP12</t>
  </si>
  <si>
    <t>READING ENG</t>
  </si>
  <si>
    <t>US12</t>
  </si>
  <si>
    <t>TWSP12</t>
  </si>
  <si>
    <t>ANS3</t>
  </si>
  <si>
    <t>TS12</t>
  </si>
  <si>
    <t>HISTORY TALK ENG</t>
  </si>
  <si>
    <t>ALLAME URDU</t>
  </si>
  <si>
    <t>ASP12</t>
  </si>
  <si>
    <t>TWS12</t>
  </si>
  <si>
    <t>PADAPATTU</t>
  </si>
  <si>
    <t>AS12</t>
  </si>
  <si>
    <t>KNS3</t>
  </si>
  <si>
    <t>NEWS WRITING &amp; READING ARB</t>
  </si>
  <si>
    <t>REEL MAKING</t>
  </si>
  <si>
    <t>BSP13</t>
  </si>
  <si>
    <t>BS13</t>
  </si>
  <si>
    <t>READING ARB</t>
  </si>
  <si>
    <t>US13</t>
  </si>
  <si>
    <t>BNS4</t>
  </si>
  <si>
    <t>STORY NARRATION ENG</t>
  </si>
  <si>
    <t>TS13</t>
  </si>
  <si>
    <t>ORU NIMISHAM</t>
  </si>
  <si>
    <t>POEM WRITING MLM</t>
  </si>
  <si>
    <t>USP13</t>
  </si>
  <si>
    <t>TWS13</t>
  </si>
  <si>
    <t>Footsall</t>
  </si>
  <si>
    <t>ALFIYYAH CONTEST</t>
  </si>
  <si>
    <t>1 ( 4 persons )</t>
  </si>
  <si>
    <t>UNS4</t>
  </si>
  <si>
    <t>AS13</t>
  </si>
  <si>
    <t>TSP13</t>
  </si>
  <si>
    <t>SIYASI THAQREER URD</t>
  </si>
  <si>
    <t>Arm wrestling</t>
  </si>
  <si>
    <t>TWSP13</t>
  </si>
  <si>
    <t>BS14</t>
  </si>
  <si>
    <t>READING URD</t>
  </si>
  <si>
    <t>ASP13</t>
  </si>
  <si>
    <t>TNS4</t>
  </si>
  <si>
    <t>US14</t>
  </si>
  <si>
    <t>SPELLING BEE</t>
  </si>
  <si>
    <t>ESSAY ENG</t>
  </si>
  <si>
    <t>TS14</t>
  </si>
  <si>
    <t>NEWS WRITING AND READING MLM</t>
  </si>
  <si>
    <t>TWS14</t>
  </si>
  <si>
    <t>BSP14</t>
  </si>
  <si>
    <t>MULTILINGUAL QUIZ</t>
  </si>
  <si>
    <t>TWNS4</t>
  </si>
  <si>
    <t>AS14</t>
  </si>
  <si>
    <t>REVERSE QUIZ</t>
  </si>
  <si>
    <t>DIGITAL TYPOGRAPHY MLM</t>
  </si>
  <si>
    <t>BS15</t>
  </si>
  <si>
    <t>TSP14</t>
  </si>
  <si>
    <t>KADHAKADHANAM</t>
  </si>
  <si>
    <t>ANS4</t>
  </si>
  <si>
    <t>US15</t>
  </si>
  <si>
    <t>1(4 persons )</t>
  </si>
  <si>
    <t>MATHS TALENT</t>
  </si>
  <si>
    <t>MR. ENGLISH</t>
  </si>
  <si>
    <t>MUHAMMED SALIM K</t>
  </si>
  <si>
    <t>TWSP14</t>
  </si>
  <si>
    <t>TS15</t>
  </si>
  <si>
    <t>TWS15</t>
  </si>
  <si>
    <t>ASP14</t>
  </si>
  <si>
    <t>KNS4</t>
  </si>
  <si>
    <t>MATH TALENT</t>
  </si>
  <si>
    <t>Biscuit eating</t>
  </si>
  <si>
    <t>AI VIDEO GENERATION</t>
  </si>
  <si>
    <t>AS15</t>
  </si>
  <si>
    <t>QUR'AN TALENT</t>
  </si>
  <si>
    <t>BS16</t>
  </si>
  <si>
    <t>BNS5</t>
  </si>
  <si>
    <t>WORD FIGHT ENG</t>
  </si>
  <si>
    <t>TEAM A</t>
  </si>
  <si>
    <t>PICTURE STORY MLM</t>
  </si>
  <si>
    <t>TWSP15</t>
  </si>
  <si>
    <t>UNS5</t>
  </si>
  <si>
    <t>HINDI VIDUAN</t>
  </si>
  <si>
    <t>TNS5</t>
  </si>
  <si>
    <t>ESSAY ARB</t>
  </si>
  <si>
    <t>TWSP16</t>
  </si>
  <si>
    <t>TWNS5</t>
  </si>
  <si>
    <t>US16</t>
  </si>
  <si>
    <t>TS16</t>
  </si>
  <si>
    <t>ANS5</t>
  </si>
  <si>
    <t>TWS16</t>
  </si>
  <si>
    <t>GK TALENT</t>
  </si>
  <si>
    <t>MR. ESPAÑOL</t>
  </si>
  <si>
    <t>AS16</t>
  </si>
  <si>
    <t>AL FAQIH</t>
  </si>
  <si>
    <t>KNS5</t>
  </si>
  <si>
    <t>BS17</t>
  </si>
  <si>
    <t>WALL PAINTING</t>
  </si>
  <si>
    <t>US17</t>
  </si>
  <si>
    <t>SWARF IQ</t>
  </si>
  <si>
    <t>TS17</t>
  </si>
  <si>
    <t>BNS6</t>
  </si>
  <si>
    <t>TWS17</t>
  </si>
  <si>
    <t>CAPTION MAKING</t>
  </si>
  <si>
    <t>HADITH MUSABAQAH</t>
  </si>
  <si>
    <t>AS17</t>
  </si>
  <si>
    <t>PROUD MUSLIM</t>
  </si>
  <si>
    <t>UNS6</t>
  </si>
  <si>
    <t>BS18</t>
  </si>
  <si>
    <t>CONVERSATION MLM</t>
  </si>
  <si>
    <t>US18</t>
  </si>
  <si>
    <t>GEO GIANT</t>
  </si>
  <si>
    <t>TNS6</t>
  </si>
  <si>
    <t>TS18</t>
  </si>
  <si>
    <t>GRAMMAR QUIZ</t>
  </si>
  <si>
    <t>ESSAY URD</t>
  </si>
  <si>
    <t>TWS18</t>
  </si>
  <si>
    <t>TECH TANGLE</t>
  </si>
  <si>
    <t>AS18</t>
  </si>
  <si>
    <t>EXTEMPORE SPEECH ARB</t>
  </si>
  <si>
    <t>TWNS6</t>
  </si>
  <si>
    <t>MUHAMMED ANSAR PK</t>
  </si>
  <si>
    <t>BS19</t>
  </si>
  <si>
    <t>GROUP SONG</t>
  </si>
  <si>
    <t>US19</t>
  </si>
  <si>
    <t>ANS6</t>
  </si>
  <si>
    <t>TS19</t>
  </si>
  <si>
    <t>TEAM B</t>
  </si>
  <si>
    <t>TWS19</t>
  </si>
  <si>
    <t>FACE TO FACE ARB</t>
  </si>
  <si>
    <t>AS19</t>
  </si>
  <si>
    <t>COMMENTARY ARB</t>
  </si>
  <si>
    <t>KNS6</t>
  </si>
  <si>
    <t>THEME SUBMISSION</t>
  </si>
  <si>
    <t>BS20</t>
  </si>
  <si>
    <t>SPEECH &amp; SONG MLM</t>
  </si>
  <si>
    <t>US20</t>
  </si>
  <si>
    <t>MULAFAZAH ARB</t>
  </si>
  <si>
    <t>TS20</t>
  </si>
  <si>
    <t>BNS7</t>
  </si>
  <si>
    <t>TWS20</t>
  </si>
  <si>
    <t>FACE TO FACE ENG</t>
  </si>
  <si>
    <t>DICTIONARY MAKING ARB</t>
  </si>
  <si>
    <t>AS20</t>
  </si>
  <si>
    <t>GAZAL</t>
  </si>
  <si>
    <t>UNS7</t>
  </si>
  <si>
    <t>LETTER WRITING ENG</t>
  </si>
  <si>
    <t>US21</t>
  </si>
  <si>
    <t>MULAFAZAH URD</t>
  </si>
  <si>
    <t>TS21</t>
  </si>
  <si>
    <t>PADAPPATTU</t>
  </si>
  <si>
    <t>TNS7</t>
  </si>
  <si>
    <t>TWS21</t>
  </si>
  <si>
    <t>MASHUP</t>
  </si>
  <si>
    <t>ESSAY HINDI</t>
  </si>
  <si>
    <t>AS21</t>
  </si>
  <si>
    <t>LOGICAL REASONING</t>
  </si>
  <si>
    <t>TWNS7</t>
  </si>
  <si>
    <t>US22</t>
  </si>
  <si>
    <t>NJAN MALAYALI</t>
  </si>
  <si>
    <t>TS22</t>
  </si>
  <si>
    <t>TWS22</t>
  </si>
  <si>
    <t>ANS7</t>
  </si>
  <si>
    <t>TV NEWS REPORTING ENG</t>
  </si>
  <si>
    <t>AAKHIL MUHAMMED K</t>
  </si>
  <si>
    <t>AS22</t>
  </si>
  <si>
    <t>RJ TALK</t>
  </si>
  <si>
    <t>KNS7</t>
  </si>
  <si>
    <t>US23</t>
  </si>
  <si>
    <t>MOTION CANVAS</t>
  </si>
  <si>
    <t>CONVERSATION ENG</t>
  </si>
  <si>
    <t>TS23</t>
  </si>
  <si>
    <t>BNS8</t>
  </si>
  <si>
    <t>MULTILINGUAL HANDWRITING</t>
  </si>
  <si>
    <t>AS23</t>
  </si>
  <si>
    <t>UNS8</t>
  </si>
  <si>
    <t>US24</t>
  </si>
  <si>
    <t>CONVERSATION ARB</t>
  </si>
  <si>
    <t>TNS8</t>
  </si>
  <si>
    <t>POEM MLM</t>
  </si>
  <si>
    <t>AS24</t>
  </si>
  <si>
    <t>TWNS8</t>
  </si>
  <si>
    <t>MOCK INTERVIEW ENG</t>
  </si>
  <si>
    <t>US25</t>
  </si>
  <si>
    <t>CONVERSATION URD</t>
  </si>
  <si>
    <t>ANS8</t>
  </si>
  <si>
    <t>AS25</t>
  </si>
  <si>
    <t>VARSITY TALENT</t>
  </si>
  <si>
    <t>KNS8</t>
  </si>
  <si>
    <t>EXPOSITORY DOCUMENTARY</t>
  </si>
  <si>
    <t>US26</t>
  </si>
  <si>
    <t>AS26</t>
  </si>
  <si>
    <t>BNS9</t>
  </si>
  <si>
    <t>MUHAMMED SALMAN OK</t>
  </si>
  <si>
    <t>MY PITCH</t>
  </si>
  <si>
    <t>PENCIL DRAWING</t>
  </si>
  <si>
    <t>UNS9</t>
  </si>
  <si>
    <t>TEAM D</t>
  </si>
  <si>
    <t>POEM WRITING ENG</t>
  </si>
  <si>
    <t>TNS9</t>
  </si>
  <si>
    <t>POEM ENG</t>
  </si>
  <si>
    <t>TWNS9</t>
  </si>
  <si>
    <t>POEM ARB</t>
  </si>
  <si>
    <t>ANS9</t>
  </si>
  <si>
    <t>ACADEMIC ESSAY ENG</t>
  </si>
  <si>
    <t>KNS9</t>
  </si>
  <si>
    <t>HACKATHON</t>
  </si>
  <si>
    <t>BNS10</t>
  </si>
  <si>
    <t>PIXEL PALETTE</t>
  </si>
  <si>
    <t>UNS10</t>
  </si>
  <si>
    <t>SHORT STORY MLM</t>
  </si>
  <si>
    <t>TNS10</t>
  </si>
  <si>
    <t>TWNS10</t>
  </si>
  <si>
    <t>POEM URD</t>
  </si>
  <si>
    <t>MUHAMMED FARHAN</t>
  </si>
  <si>
    <t>ANS10</t>
  </si>
  <si>
    <t>KNS10</t>
  </si>
  <si>
    <t>VLOG MAKING</t>
  </si>
  <si>
    <t>BNS11</t>
  </si>
  <si>
    <t>TYPING MASTER ENG</t>
  </si>
  <si>
    <t>UNS11</t>
  </si>
  <si>
    <t>STORY COMPLETION ENG</t>
  </si>
  <si>
    <t>TNS11</t>
  </si>
  <si>
    <t>TWNS11</t>
  </si>
  <si>
    <t>PROS TO POETRY MLM</t>
  </si>
  <si>
    <t>ANS11</t>
  </si>
  <si>
    <t>SHIHAD TK</t>
  </si>
  <si>
    <t>BNS12</t>
  </si>
  <si>
    <t>MS WORD</t>
  </si>
  <si>
    <t>UNS12</t>
  </si>
  <si>
    <t>STORY COMPLETION ARB</t>
  </si>
  <si>
    <t>TNS12</t>
  </si>
  <si>
    <t>TWNS12</t>
  </si>
  <si>
    <t>PROS TO POETRY ENG</t>
  </si>
  <si>
    <t>ANS12</t>
  </si>
  <si>
    <t>BNS13</t>
  </si>
  <si>
    <t>ESSAY WRITING MLM</t>
  </si>
  <si>
    <t>UNS13</t>
  </si>
  <si>
    <t>STORY COMPLETION URD</t>
  </si>
  <si>
    <t>TNS13</t>
  </si>
  <si>
    <t>SHORT STORY ENG</t>
  </si>
  <si>
    <t>MUHAMMED ALTHAF K</t>
  </si>
  <si>
    <t>TWNS13</t>
  </si>
  <si>
    <t>MR CRICTIC MLM</t>
  </si>
  <si>
    <t>ANS13</t>
  </si>
  <si>
    <t>BNS14</t>
  </si>
  <si>
    <t>UNS14</t>
  </si>
  <si>
    <t>IMAGE ELABORATION MLM</t>
  </si>
  <si>
    <t>TNS14</t>
  </si>
  <si>
    <t>SHORT STORY ARB</t>
  </si>
  <si>
    <t>TWNS14</t>
  </si>
  <si>
    <t>NEWS WRITING ENG</t>
  </si>
  <si>
    <t>ANS14</t>
  </si>
  <si>
    <t>TARJUMAN-E-SADA</t>
  </si>
  <si>
    <t>MUHAMMED SAHAL KC</t>
  </si>
  <si>
    <t>BNS15</t>
  </si>
  <si>
    <t>ORIGAMI</t>
  </si>
  <si>
    <t>UNS15</t>
  </si>
  <si>
    <t>WATER PAINTING</t>
  </si>
  <si>
    <t>TNS15</t>
  </si>
  <si>
    <t>SHORT STORY URD</t>
  </si>
  <si>
    <t>TWNS15</t>
  </si>
  <si>
    <t>NEWS WRITING ARB</t>
  </si>
  <si>
    <t>ANS15</t>
  </si>
  <si>
    <t>BNS16</t>
  </si>
  <si>
    <t>JIGSAW PUZZLE</t>
  </si>
  <si>
    <t>UNS16</t>
  </si>
  <si>
    <t>CARTOON</t>
  </si>
  <si>
    <t>UNAIS K</t>
  </si>
  <si>
    <t>TNS16</t>
  </si>
  <si>
    <t>TEXT TORNADO</t>
  </si>
  <si>
    <t>TWNS16</t>
  </si>
  <si>
    <t>NEWS WRITING URD</t>
  </si>
  <si>
    <t>ANS16</t>
  </si>
  <si>
    <t>BNS17</t>
  </si>
  <si>
    <t>UNS17</t>
  </si>
  <si>
    <t>POSTER DESIGNING</t>
  </si>
  <si>
    <t>TNS17</t>
  </si>
  <si>
    <t>TWNS17</t>
  </si>
  <si>
    <t>ANS17</t>
  </si>
  <si>
    <t>AKHEEL NASIM</t>
  </si>
  <si>
    <t>UNS18</t>
  </si>
  <si>
    <t>TYPING BI-LINGUAL</t>
  </si>
  <si>
    <t>TNS18</t>
  </si>
  <si>
    <t>DICTIONARY MAKING HINDI</t>
  </si>
  <si>
    <t>TWNS18</t>
  </si>
  <si>
    <t>ANS18</t>
  </si>
  <si>
    <t>MUHAMMED SAFEER MP</t>
  </si>
  <si>
    <t>UNS19</t>
  </si>
  <si>
    <t>POWERPOINT CREATION</t>
  </si>
  <si>
    <t>TNS19</t>
  </si>
  <si>
    <t>EXCEL MASTER</t>
  </si>
  <si>
    <t>TWNS19</t>
  </si>
  <si>
    <t>ANS19</t>
  </si>
  <si>
    <t>SCREENPLAY WRITING MLM</t>
  </si>
  <si>
    <t>UNS20</t>
  </si>
  <si>
    <t>TABLOID MLM</t>
  </si>
  <si>
    <t>TNS20</t>
  </si>
  <si>
    <t>TWNS20</t>
  </si>
  <si>
    <t>ANS20</t>
  </si>
  <si>
    <t>ABSTRACT WRITING ENG</t>
  </si>
  <si>
    <t>MUHAMMED RINSHAD</t>
  </si>
  <si>
    <t>TNS21</t>
  </si>
  <si>
    <t>VIDEO EDITING</t>
  </si>
  <si>
    <t>TWNS21</t>
  </si>
  <si>
    <t>TWEETING</t>
  </si>
  <si>
    <t>ANS21</t>
  </si>
  <si>
    <t>COPYWRITING MLM</t>
  </si>
  <si>
    <t>TNS22</t>
  </si>
  <si>
    <t>IMAGE ELABORATION ENG</t>
  </si>
  <si>
    <t>TWNS22</t>
  </si>
  <si>
    <t>CALLIGRAPHY</t>
  </si>
  <si>
    <t>ANS22</t>
  </si>
  <si>
    <t>FEATURE WRITING MLM</t>
  </si>
  <si>
    <t>MUHAMMED SWALIH K</t>
  </si>
  <si>
    <t>TNS23</t>
  </si>
  <si>
    <t>INSTANT CHILDREN'S MAGAZINE MLM</t>
  </si>
  <si>
    <t>TWNS23</t>
  </si>
  <si>
    <t>ANS23</t>
  </si>
  <si>
    <t>BAYAN ART</t>
  </si>
  <si>
    <t>TNS24</t>
  </si>
  <si>
    <t>INSTANT NEWSPAPER MLM</t>
  </si>
  <si>
    <t>TWNS24</t>
  </si>
  <si>
    <t>CRYPTIC CROSSWORD</t>
  </si>
  <si>
    <t>ANS24</t>
  </si>
  <si>
    <t>PROMPT ENGINEERING</t>
  </si>
  <si>
    <t>MUHAMMED JAVAD V</t>
  </si>
  <si>
    <t>TWNS25</t>
  </si>
  <si>
    <t>PRODUCT PHOTOGRAPHY</t>
  </si>
  <si>
    <t>ANS25</t>
  </si>
  <si>
    <t>UI DESIGNING</t>
  </si>
  <si>
    <t>TWNS26</t>
  </si>
  <si>
    <t>WEB DESIGNING</t>
  </si>
  <si>
    <t>ANS26</t>
  </si>
  <si>
    <t>CODE CRAFT</t>
  </si>
  <si>
    <t>TWNS27</t>
  </si>
  <si>
    <t>CANDID PHOTOGRAPHY</t>
  </si>
  <si>
    <t>MUHAMMAD FAYAS MK</t>
  </si>
  <si>
    <t>ANS27</t>
  </si>
  <si>
    <t>HAIKU POEM</t>
  </si>
  <si>
    <t>TWNS28</t>
  </si>
  <si>
    <t>INSTANT MAGAZINE ENG</t>
  </si>
  <si>
    <t>ANS28</t>
  </si>
  <si>
    <t>MANUSCRIPT READING</t>
  </si>
  <si>
    <t>ANS29</t>
  </si>
  <si>
    <t>CANVAS PAINTING</t>
  </si>
  <si>
    <t>MUHAMMED YASEEN MK</t>
  </si>
  <si>
    <t>ANS30</t>
  </si>
  <si>
    <t>PACKAGE DESIGNING</t>
  </si>
  <si>
    <t>ANS31</t>
  </si>
  <si>
    <t>ADVENTURE PHOTOGRAPHY</t>
  </si>
  <si>
    <t>ANS32</t>
  </si>
  <si>
    <t>DIGITAL TABLOID ARB</t>
  </si>
  <si>
    <t>ANS33</t>
  </si>
  <si>
    <t>BROCHURE DESIGNNG</t>
  </si>
  <si>
    <t>HARIS PK</t>
  </si>
  <si>
    <t>MOHAMMED HISAN PK</t>
  </si>
  <si>
    <t>COORDINATOR</t>
  </si>
  <si>
    <t>Name</t>
  </si>
  <si>
    <t>Category</t>
  </si>
  <si>
    <t>Type</t>
  </si>
  <si>
    <t>Format</t>
  </si>
  <si>
    <t>Quota</t>
  </si>
  <si>
    <t>Group Size</t>
  </si>
  <si>
    <t>Max Participants</t>
  </si>
  <si>
    <t>Eligible Category</t>
  </si>
  <si>
    <t>Status</t>
  </si>
  <si>
    <t>Stage</t>
  </si>
  <si>
    <t>Individual</t>
  </si>
  <si>
    <t>Active</t>
  </si>
  <si>
    <t>MUHAMMED SINAN K</t>
  </si>
  <si>
    <t>ASHMIL K</t>
  </si>
  <si>
    <t xml:space="preserve"> </t>
  </si>
  <si>
    <t>CATEGORY</t>
  </si>
  <si>
    <t>STATUS</t>
  </si>
  <si>
    <t>Non-Stage Count</t>
  </si>
  <si>
    <t>ST Count</t>
  </si>
  <si>
    <t>Sports Count</t>
  </si>
  <si>
    <t>Individual Count</t>
  </si>
  <si>
    <t>Group Count</t>
  </si>
  <si>
    <t>Total Count</t>
  </si>
  <si>
    <t>Bylaw Status</t>
  </si>
  <si>
    <t>REG 1</t>
  </si>
  <si>
    <t>REG 2</t>
  </si>
  <si>
    <t>REG 3</t>
  </si>
  <si>
    <t>REG 4</t>
  </si>
  <si>
    <t>REG 5</t>
  </si>
  <si>
    <t>REG 6</t>
  </si>
  <si>
    <t>REG 7</t>
  </si>
  <si>
    <t>REG 8</t>
  </si>
  <si>
    <t>REG 9</t>
  </si>
  <si>
    <t>REG 10</t>
  </si>
  <si>
    <t>REG 11</t>
  </si>
  <si>
    <t>REG 12</t>
  </si>
  <si>
    <t>Group</t>
  </si>
  <si>
    <t>REG 13</t>
  </si>
  <si>
    <t>REG 14</t>
  </si>
  <si>
    <t>REG 15</t>
  </si>
  <si>
    <t>REGISTERED PROGRAMS</t>
  </si>
  <si>
    <t>SHUHAIB P</t>
  </si>
  <si>
    <t>MUHAMMED ADHIL TC</t>
  </si>
  <si>
    <t>MUHAMMED ASHIF KC</t>
  </si>
  <si>
    <t>MUHAMMED ADIL CV</t>
  </si>
  <si>
    <t>MUHAMMED HISHAM KV</t>
  </si>
  <si>
    <t>MUHAMMED MUFLIH MM</t>
  </si>
  <si>
    <t>MUHAMMED AJVAD T</t>
  </si>
  <si>
    <t>MOHAMMED NAJAD AK</t>
  </si>
  <si>
    <t>MUHAMMED ANAS T</t>
  </si>
  <si>
    <t>MUHAMMED MIDLAJ KJ</t>
  </si>
  <si>
    <t>Non-Stage</t>
  </si>
  <si>
    <t>JAVAHIRU RAHIMAN VN</t>
  </si>
  <si>
    <t>MUHAMMED NIHAL K</t>
  </si>
  <si>
    <t>MUHAMMED RASIM NV</t>
  </si>
  <si>
    <t>MUBASHIR M</t>
  </si>
  <si>
    <t>MUHAMMED SINAN KK</t>
  </si>
  <si>
    <t>MUHAMMED SHAMEEL V</t>
  </si>
  <si>
    <t>MUHAMMED RINAN UK</t>
  </si>
  <si>
    <t>MUHAMMED SABEEL PK</t>
  </si>
  <si>
    <t>TOTAL STUDENTS</t>
  </si>
  <si>
    <t>COMPLIANT</t>
  </si>
  <si>
    <t>MIN 1 REQ</t>
  </si>
  <si>
    <t>OVER QUOTA</t>
  </si>
  <si>
    <t>TOTAL REG</t>
  </si>
  <si>
    <t>Program Type</t>
  </si>
  <si>
    <t>MUHAMMED ZIYAN MP</t>
  </si>
  <si>
    <t>All Programs</t>
  </si>
  <si>
    <t>MUHAMMED ASLAH MK</t>
  </si>
  <si>
    <t>MUHAMMED SINAN M</t>
  </si>
  <si>
    <t>MUHAMMED SADATH OK</t>
  </si>
  <si>
    <t>MUHAMMED SINAN TT</t>
  </si>
  <si>
    <t>Team</t>
  </si>
  <si>
    <t>Active in Team</t>
  </si>
  <si>
    <t>Meets All Bylaws</t>
  </si>
  <si>
    <t>MUHAMMED SINAN CK</t>
  </si>
  <si>
    <t>Pending</t>
  </si>
  <si>
    <t>Violations</t>
  </si>
  <si>
    <t>Team Total</t>
  </si>
  <si>
    <t>Active Student Count</t>
  </si>
  <si>
    <t>ABDUL VAJID AK</t>
  </si>
  <si>
    <t>LUQMAN UL HAKEEM A</t>
  </si>
  <si>
    <t>SHEMEEM V</t>
  </si>
  <si>
    <t>FADIL MUHAMMED P</t>
  </si>
  <si>
    <t>Sports</t>
  </si>
  <si>
    <t>THWAHA SHIHAB K</t>
  </si>
  <si>
    <t>Chair Play 1</t>
  </si>
  <si>
    <t>Chair Play 2</t>
  </si>
  <si>
    <t>MUHAMMED ADHIL MP</t>
  </si>
  <si>
    <t>Frog Jump 2</t>
  </si>
  <si>
    <t>MUHAMMED IRFAN AK</t>
  </si>
  <si>
    <t>BAJEEL AHMED K</t>
  </si>
  <si>
    <t>STUDENT NAME</t>
  </si>
  <si>
    <t>MUHAMMED NIHAD CH</t>
  </si>
  <si>
    <t>BYLAW STATUS</t>
  </si>
  <si>
    <t>SWALIH M</t>
  </si>
  <si>
    <t>MUHAMMED NAJIL K</t>
  </si>
  <si>
    <t>Throw to stump 2</t>
  </si>
  <si>
    <t>Crossbar Challenge 2</t>
  </si>
  <si>
    <t>MOHAMMED SHAHEEN. M.K</t>
  </si>
  <si>
    <t>MUHAMMED IRFAN K</t>
  </si>
  <si>
    <t>SALMANUL FARIS M</t>
  </si>
  <si>
    <t>ʿĀLIYAH + THĀNAWIYYAH</t>
  </si>
  <si>
    <t>MUHAMMED ADNAN K</t>
  </si>
  <si>
    <t>NADISH MUHAMMED MP</t>
  </si>
  <si>
    <t>Inactive</t>
  </si>
  <si>
    <t>NIBRAS A</t>
  </si>
  <si>
    <t>MUHAMMED SUHAIL M</t>
  </si>
  <si>
    <t>MUHAMMAD SHAHDAN V P</t>
  </si>
  <si>
    <t>MUHAMMAD HISHAM K</t>
  </si>
  <si>
    <t>MUHAMMED SHAHID</t>
  </si>
  <si>
    <t>MUHAMMED FAVAS K</t>
  </si>
  <si>
    <t>MUHAMMED NAJIH.V</t>
  </si>
  <si>
    <t>FASAL RAHMAN A</t>
  </si>
  <si>
    <t>MUHAMMED NISHAD MC</t>
  </si>
  <si>
    <t>MUHAMMED SHAMIL P P</t>
  </si>
  <si>
    <t>FAZALU RAHMAN P P</t>
  </si>
  <si>
    <t>MUHAMMED NIHAL PV</t>
  </si>
  <si>
    <t>ANSHID. M</t>
  </si>
  <si>
    <t>MUHAMMED AFNAN A P</t>
  </si>
  <si>
    <t>MUHAMMED SINAN VK</t>
  </si>
  <si>
    <t>MUHAMMED THANVEER KT</t>
  </si>
  <si>
    <t>ABDULLA K</t>
  </si>
  <si>
    <t>ADHNAN P</t>
  </si>
  <si>
    <t>MUHAMMAD SALMAN FARIS T</t>
  </si>
  <si>
    <t>MUHAMMED SIDHAN V</t>
  </si>
  <si>
    <t>SHAHEER ALI PP</t>
  </si>
  <si>
    <t>MUHAMMED NAJAD V</t>
  </si>
  <si>
    <t>ADNAN HYDER K</t>
  </si>
  <si>
    <t>MUHAMMED RISHAL. K</t>
  </si>
  <si>
    <t>MUHAMMED MUFLIH VATTOLY</t>
  </si>
  <si>
    <t>MUHAMMED NIHAL T K</t>
  </si>
  <si>
    <t>MUHAMMED SAFVAN M</t>
  </si>
  <si>
    <t>BASITH RAHMAN VK</t>
  </si>
  <si>
    <t>ADIL FAVAS CP</t>
  </si>
  <si>
    <t>ABDUL BASITH MC</t>
  </si>
  <si>
    <t>MUHAMMED ALTHAF.T</t>
  </si>
  <si>
    <t>MUHAMMED SANEEM C</t>
  </si>
  <si>
    <t>MUHAMMED SHADHIL.M</t>
  </si>
  <si>
    <t>MUHAMMED SHAMMAS. VP</t>
  </si>
  <si>
    <t>MUHAMMED AMJAD.MP</t>
  </si>
  <si>
    <t>MUHAMMED NASEEL P.K</t>
  </si>
  <si>
    <t>ABDULLHA SINAN V</t>
  </si>
  <si>
    <t>ABDULLAH AMEEN P</t>
  </si>
  <si>
    <t>MUHAMMED VAJID P.K</t>
  </si>
  <si>
    <t>MOHAMMED IMTHIYAS.K</t>
  </si>
  <si>
    <t>MOHAMMED ADNAN. M.K.</t>
  </si>
  <si>
    <t>MUHAMMED NAHYAN P</t>
  </si>
  <si>
    <t>MUHAMMED SHAMIL K</t>
  </si>
  <si>
    <t>MUHAMMED RAVAN PK</t>
  </si>
  <si>
    <t>MUHAMMED MAFAS PF</t>
  </si>
  <si>
    <t>MEHAFIL SHAN</t>
  </si>
  <si>
    <t>MUHAMMED AMEERSHAH K</t>
  </si>
  <si>
    <t>ABDUL MUHAIMIN KC</t>
  </si>
  <si>
    <t>ABDUL HADI KC</t>
  </si>
  <si>
    <t>MUHAMMED HASEEM P S</t>
  </si>
  <si>
    <t>MUHAMMED SINAN P</t>
  </si>
  <si>
    <t>MUHAMMED AFLAH</t>
  </si>
  <si>
    <t>ABSHAN AHAMMED K</t>
  </si>
  <si>
    <t>MUHAMMED ASHFAQ P P</t>
  </si>
  <si>
    <t>MUHAMMED SHANEEB V</t>
  </si>
  <si>
    <t>AMJAD MP</t>
  </si>
  <si>
    <t>MUHAMMED SHAMIL PP</t>
  </si>
  <si>
    <t>MUHAMMED ARSHAD. V</t>
  </si>
  <si>
    <t>SUBUL RABEEH K C</t>
  </si>
  <si>
    <t>MUHAMMAD NAFIH N P</t>
  </si>
  <si>
    <t>MUHAMMED ANEES KP</t>
  </si>
  <si>
    <t>MUHAMMED HANAN NP</t>
  </si>
  <si>
    <t>MUHAMMED SINAN</t>
  </si>
  <si>
    <t>MUHAMMED SWALAH M</t>
  </si>
  <si>
    <t>NISHAD K</t>
  </si>
  <si>
    <t>AMEEN HYZAM</t>
  </si>
  <si>
    <t>MUHAMMED ABSAM</t>
  </si>
  <si>
    <t>ALTHAF AHMED</t>
  </si>
  <si>
    <t>MUHAMMED HADI K</t>
  </si>
  <si>
    <t>ANSHID MP</t>
  </si>
  <si>
    <t>MUHAMMED FAHEEM K</t>
  </si>
  <si>
    <t>MUHAMMED ASLAM SAHAD P</t>
  </si>
  <si>
    <t>MUHAMMED NAJAH SHAMMAS MK</t>
  </si>
  <si>
    <t>MOHAMMED SHAFAN M</t>
  </si>
  <si>
    <t>ALSHID K</t>
  </si>
  <si>
    <t>MUHAMMAD SWALIH M P</t>
  </si>
  <si>
    <t>MUHAMMED FIRSAD.K</t>
  </si>
  <si>
    <t>MUHAMMED ISHAN PT</t>
  </si>
  <si>
    <t>MUHAMMED NAHEEL</t>
  </si>
  <si>
    <t>MUHAMMED NISHAN KK</t>
  </si>
  <si>
    <t>MUHAMMED AMEER P C</t>
  </si>
  <si>
    <t>SHAMMAS BADUSHA PK</t>
  </si>
  <si>
    <t>MUHAMMED FARHAN PP</t>
  </si>
  <si>
    <t>AHAMMED RAZAN K</t>
  </si>
  <si>
    <t>ZAHEEN ALI E</t>
  </si>
  <si>
    <t>MUHAMMED SHAFIN KP</t>
  </si>
  <si>
    <t>MUHAMMED RUJAIB P K</t>
  </si>
  <si>
    <t>MUHAMMED SWALIH .K.S</t>
  </si>
  <si>
    <t>MUHAMMED RAFEEH C</t>
  </si>
  <si>
    <t>MUHAMMAD RIMSHAD P</t>
  </si>
  <si>
    <t>MUHAMMED SHAHAD M</t>
  </si>
  <si>
    <t>MUHAMMED DHANISH TV</t>
  </si>
  <si>
    <t>MUHAMMED SINAN TK</t>
  </si>
  <si>
    <t>MUHAMMAD ADNAN</t>
  </si>
  <si>
    <t>MUHAMMED FATHAH P</t>
  </si>
  <si>
    <t>AJLAN. AK</t>
  </si>
  <si>
    <t>MUHAMMED ARSHAD C</t>
  </si>
  <si>
    <t>ABDUL HADI VELLARI</t>
  </si>
  <si>
    <t>ISHAN MUHAMMED</t>
  </si>
  <si>
    <t>AHAMMED RASHAD P</t>
  </si>
  <si>
    <t>MUHAMMED RAZI</t>
  </si>
  <si>
    <t>MASHOOD ABDULLA. MP</t>
  </si>
  <si>
    <t>MUHAMMED SHAFIN MC</t>
  </si>
  <si>
    <t>MUHAMMED AMEEN P C</t>
  </si>
  <si>
    <t>SHIBILI FAROOQ K</t>
  </si>
  <si>
    <t>AMIR AHMED</t>
  </si>
  <si>
    <t>MUHAMMED MUNJID PK</t>
  </si>
  <si>
    <t>AHZAN MAJEED KK</t>
  </si>
  <si>
    <t>MUHAMMED SAJAD P.K</t>
  </si>
  <si>
    <t>MUHAMMED AFNAN K</t>
  </si>
  <si>
    <t>MUHAMMED DHARVESH K</t>
  </si>
  <si>
    <t>ASHWAR SHAMIL V V</t>
  </si>
  <si>
    <t>MUHAMMED MUHSIN PP</t>
  </si>
  <si>
    <t>MUHAMMED ASMIL</t>
  </si>
  <si>
    <t>MUHAMMED MIDLAJ AK</t>
  </si>
  <si>
    <t>MUHAMMED LAZIN KADOORAN</t>
  </si>
  <si>
    <t>MUHAMMED FATHAHUDHEEN.P</t>
  </si>
  <si>
    <t>MUHAMMED MIDLAJE N</t>
  </si>
  <si>
    <t>HADEE KAREEM POOKKODAN</t>
  </si>
  <si>
    <t>MUHAMMED NAIF M</t>
  </si>
  <si>
    <t>MUHAMMED HISHAM. T</t>
  </si>
  <si>
    <t>MUHAMMED YASEEN.P.P</t>
  </si>
  <si>
    <t>ESHAN RAFI</t>
  </si>
  <si>
    <t>AMAN RAZI K K</t>
  </si>
  <si>
    <t>MUHAMMED SHAMWEEL C K</t>
  </si>
  <si>
    <t>MUHAMMED MUSTHAFA</t>
  </si>
  <si>
    <t>MUHAMMED AMDAN C</t>
  </si>
  <si>
    <t>MUHAMMED MIDLAJ.K</t>
  </si>
  <si>
    <t>MUHAMMED NAFIH A</t>
  </si>
  <si>
    <t>MUHAMMED AFLAH K</t>
  </si>
  <si>
    <t>AJLAN MUHAMMED</t>
  </si>
  <si>
    <t>MUHAMMED MINHAL A K</t>
  </si>
  <si>
    <t>MUHAMMED SHAMEEM K</t>
  </si>
  <si>
    <t>MUHAMMED FAYIS TP</t>
  </si>
  <si>
    <t>MUHAMMED SHADIL C K</t>
  </si>
  <si>
    <t>MUHAMED SANAN KP</t>
  </si>
  <si>
    <t>MUHAMMED SHAFI M</t>
  </si>
  <si>
    <t>RIZIN SHAN K</t>
  </si>
  <si>
    <t>MUHAMMAD ADHNAN K M</t>
  </si>
  <si>
    <t>NASL RIHAL</t>
  </si>
  <si>
    <t>ALTHAF MUHAMMED C</t>
  </si>
  <si>
    <t>MUHAMMED ADHINAN VK</t>
  </si>
  <si>
    <t>MUHAMMED ADHIL V</t>
  </si>
  <si>
    <t>MUHAMMAD SWABEEH.M</t>
  </si>
  <si>
    <t>MUHAMMED NIHAL.M</t>
  </si>
  <si>
    <t>MUHAMMED DHARIF C</t>
  </si>
  <si>
    <t>UMAR AFLAH K V</t>
  </si>
  <si>
    <t>MUHAMMED HILAL K</t>
  </si>
  <si>
    <t>MUHAMMED HANAN KP</t>
  </si>
  <si>
    <t>MUAMMED SUHAIL AK</t>
  </si>
  <si>
    <t>MUHAMMAD ZAYAN P P</t>
  </si>
  <si>
    <t>MUHAMMED MIDLAJ T</t>
  </si>
  <si>
    <t>MUHAMMED RIZWAN N.P.M</t>
  </si>
  <si>
    <t>MUHAMMED ASHMIL K V</t>
  </si>
  <si>
    <t>MUHAMMED SHAHNAN.V.P</t>
  </si>
  <si>
    <t>MUHAMMED HASHIR K</t>
  </si>
  <si>
    <t>MUHAMMED YASEEN M</t>
  </si>
  <si>
    <t>MUHAMMAD RABEEH. M. P</t>
  </si>
  <si>
    <t>ABIN ASHMIL A</t>
  </si>
  <si>
    <t>MUHAMMED SAHAD P</t>
  </si>
  <si>
    <t>FAAZ</t>
  </si>
  <si>
    <t>MOHAMMED HADI P T</t>
  </si>
  <si>
    <t>AADHIL SAHADH M</t>
  </si>
  <si>
    <t>MUHAMMED RABEEH</t>
  </si>
  <si>
    <t>MUHAMMED ADHIL A T</t>
  </si>
  <si>
    <t>ATHEEQ RAHMAN K</t>
  </si>
  <si>
    <t>MUHAMMED SHABIL MK</t>
  </si>
  <si>
    <t>AMALSHA MUHYUDHEEN</t>
  </si>
  <si>
    <t>MUHAMMED ASHMIL CK</t>
  </si>
  <si>
    <t>MUHAMMAD SHAFIN.T</t>
  </si>
  <si>
    <t>MUHAMMED HANAN P P</t>
  </si>
  <si>
    <t>MUHAMMED SHAMMAS C</t>
  </si>
  <si>
    <t>Muhammed Hadhi. K</t>
  </si>
  <si>
    <t>MUHAMMED SWABEEH P</t>
  </si>
  <si>
    <t>SHEZEN MUHAMMED CP</t>
  </si>
  <si>
    <t>MUHAMMED SHAMMAS B</t>
  </si>
  <si>
    <t>DIYAN MUHAMMED MP</t>
  </si>
  <si>
    <t>MUHAMMED HISHAM OP</t>
  </si>
  <si>
    <t>MUHAMMED RISL A</t>
  </si>
  <si>
    <t>MUHAMMAD SHAHABAN M</t>
  </si>
  <si>
    <t>MOHAMMED SABITH CHONARI</t>
  </si>
  <si>
    <t>MUHAMMED SHAMIL MP</t>
  </si>
  <si>
    <t>MUHAMMAD MUEEZ E</t>
  </si>
  <si>
    <t>LABEEDUL ANSARI K</t>
  </si>
  <si>
    <t>MUHAMMAD RISHAD M C</t>
  </si>
  <si>
    <t>MUHAMMED MAZIN. V</t>
  </si>
  <si>
    <t>MUHAMMED MUFLIH AT</t>
  </si>
  <si>
    <t>ALI HAYAN PP</t>
  </si>
  <si>
    <t>MUHAMMAD IRFAN G.P</t>
  </si>
  <si>
    <t>MUHAMMED NIHAL MP</t>
  </si>
  <si>
    <t>Muhammed Amjad Mt</t>
  </si>
  <si>
    <t>ISHAN MUHAMMED. V. M</t>
  </si>
  <si>
    <t>MUHAMMED AMEEN KC</t>
  </si>
  <si>
    <t>ABDUL HALEEM K</t>
  </si>
  <si>
    <t>MUHAMMED SAHIL.V</t>
  </si>
  <si>
    <t>Shahdan cv</t>
  </si>
  <si>
    <t>MUHAMMAD NASEEM</t>
  </si>
  <si>
    <t>AHAMMED SHANEEB KK</t>
  </si>
  <si>
    <t>HASHIR RAZACK EK</t>
  </si>
  <si>
    <t>MUHAMMED ADHIL</t>
  </si>
  <si>
    <t>MUHAMMED RISHAD PK</t>
  </si>
  <si>
    <t>MOHAMMED SHAMIL MT</t>
  </si>
  <si>
    <t>NASEEM AHMAD V</t>
  </si>
  <si>
    <t>MUHAMMED RAZAN.MP</t>
  </si>
  <si>
    <t>SINAN AHMAD P</t>
  </si>
  <si>
    <t>MUHAMMED ANSHID CK</t>
  </si>
  <si>
    <t>MUHAMMED SHAZIL A P</t>
  </si>
  <si>
    <t>MUHAMMED ASHMIL. M</t>
  </si>
  <si>
    <t>MOHAMEED ADHIL P</t>
  </si>
  <si>
    <t>BISHRUL HAFI M</t>
  </si>
  <si>
    <t>MUHAMMED RADIN KK</t>
  </si>
  <si>
    <t>AHMED MINHAJ PK</t>
  </si>
  <si>
    <t>SWADIQUL AMEEN E</t>
  </si>
  <si>
    <t>MUHAMMED RISIL K</t>
  </si>
  <si>
    <t>MUHAMMED ZAYAN TK</t>
  </si>
  <si>
    <t>FAHEEM MOHAMMED</t>
  </si>
  <si>
    <t>MUHAMMED NAJAD</t>
  </si>
  <si>
    <t>MUHAMMED SHEZIN AT</t>
  </si>
  <si>
    <t>MUZAMMIL P</t>
  </si>
  <si>
    <t>MUHAMMED HAMID.A</t>
  </si>
  <si>
    <t>MUHAMMED MISHAL C</t>
  </si>
  <si>
    <t>MUHAMMED FAIHAN. P</t>
  </si>
  <si>
    <t>MUHAMMED AFLAH. CK</t>
  </si>
  <si>
    <t>ATHIF AHMED M</t>
  </si>
  <si>
    <t>MUHAMMED RASIL M</t>
  </si>
  <si>
    <t>MUHAMMED AFLAH V P</t>
  </si>
  <si>
    <t>ISHFAQ ALI. V. M</t>
  </si>
  <si>
    <t>MUHAMMAD RAYYAN C.P</t>
  </si>
  <si>
    <t>MUHAMMED NAJIH. MP</t>
  </si>
  <si>
    <t>MUHAMMED KAISAN V</t>
  </si>
  <si>
    <t>MUHAMMED MUNEES,K</t>
  </si>
  <si>
    <t>RAHIL RAYAN P</t>
  </si>
  <si>
    <t>TOTAL REGISTERED</t>
  </si>
  <si>
    <t>PROGRAM QUOTA</t>
  </si>
  <si>
    <t>QUOTA STATUS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</si>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</sst>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0.0"/>
      <color rgb="FF000000"/>
      <name val="Arial"/>
      <scheme val="minor"/>
    </font>
    <font>
      <b/>
      <sz val="18.0"/>
      <color rgb="FFFFFFFF"/>
      <name val="Arial"/>
    </font>
    <font>
      <b/>
      <sz val="9.0"/>
      <color rgb="FFFFFFFF"/>
      <name val="Calibri"/>
    </font>
    <font/>
    <font>
      <b/>
      <sz val="11.0"/>
      <color rgb="FFFFFFFF"/>
      <name val="Arial"/>
    </font>
    <font>
      <b/>
      <sz val="9.0"/>
      <color rgb="FF1F1F1F"/>
      <name val="Calibri"/>
    </font>
    <font>
      <sz val="9.0"/>
      <color rgb="FF1F1F1F"/>
      <name val="Calibri"/>
    </font>
    <font>
      <b/>
      <color theme="1"/>
      <name val="Arial"/>
    </font>
    <font>
      <color theme="1"/>
      <name val="Arial"/>
    </font>
    <font>
      <b/>
      <sz val="11.0"/>
      <color theme="1"/>
      <name val="Arial"/>
    </font>
    <font>
      <b/>
      <color theme="1"/>
      <name val="Roboto"/>
    </font>
    <font>
      <sz val="11.0"/>
      <color theme="1"/>
      <name val="Arial"/>
    </font>
    <font>
      <b/>
      <sz val="11.0"/>
      <color rgb="FF0A53A8"/>
      <name val="Calibri"/>
    </font>
    <font>
      <color rgb="FF434343"/>
      <name val="Roboto"/>
    </font>
    <font>
      <sz val="11.0"/>
      <color theme="1"/>
      <name val="Calibri"/>
    </font>
    <font>
      <b/>
      <sz val="11.0"/>
      <color rgb="FF753800"/>
      <name val="Calibri"/>
    </font>
    <font>
      <b/>
      <sz val="11.0"/>
      <color rgb="FF473821"/>
      <name val="Calibri"/>
    </font>
    <font>
      <b/>
      <sz val="11.0"/>
      <color rgb="FFFFCFC9"/>
      <name val="Calibri"/>
    </font>
    <font>
      <b/>
      <sz val="11.0"/>
      <color theme="1"/>
      <name val="Calibri"/>
    </font>
    <font>
      <b/>
      <sz val="10.0"/>
      <color rgb="FFFFFFFF"/>
      <name val="Google Sans"/>
    </font>
    <font>
      <color theme="1"/>
      <name val="Arial"/>
      <scheme val="minor"/>
    </font>
    <font>
      <sz val="12.0"/>
      <color theme="1"/>
      <name val="Arial"/>
    </font>
    <font>
      <b/>
      <sz val="9.0"/>
      <color rgb="FFFFFFFF"/>
      <name val="Google Sans"/>
    </font>
    <font>
      <b/>
      <sz val="10.0"/>
      <color rgb="FF0C264C"/>
      <name val="Google Sans"/>
    </font>
    <font>
      <b/>
      <sz val="8.0"/>
      <color rgb="FF3F597A"/>
      <name val="Google Sans"/>
    </font>
    <font>
      <b/>
      <sz val="14.0"/>
      <color rgb="FF1B365D"/>
      <name val="Google Sans"/>
    </font>
    <font>
      <sz val="8.0"/>
      <color rgb="FF667A93"/>
      <name val="Google Sans"/>
    </font>
    <font>
      <b/>
      <sz val="11.0"/>
      <color rgb="FF007233"/>
      <name val="Arial"/>
      <scheme val="minor"/>
    </font>
    <font>
      <sz val="11.0"/>
      <color rgb="FF1F1F1F"/>
      <name val="Arial"/>
    </font>
    <font>
      <b/>
      <sz val="10.0"/>
      <color rgb="FF193359"/>
      <name val="Google Sans"/>
    </font>
    <font>
      <b/>
      <sz val="10.0"/>
      <color theme="1"/>
      <name val="Google Sans"/>
    </font>
  </fonts>
  <fills count="2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1F4E79"/>
        <bgColor rgb="FF1F4E79"/>
      </patternFill>
    </fill>
    <fill>
      <patternFill patternType="solid">
        <fgColor rgb="FF2E7D32"/>
        <bgColor rgb="FF2E7D32"/>
      </patternFill>
    </fill>
    <fill>
      <patternFill patternType="solid">
        <fgColor rgb="FF1F4E78"/>
        <bgColor rgb="FF1F4E78"/>
      </patternFill>
    </fill>
    <fill>
      <patternFill patternType="solid">
        <fgColor rgb="FFB8860B"/>
        <bgColor rgb="FFB8860B"/>
      </patternFill>
    </fill>
    <fill>
      <patternFill patternType="solid">
        <fgColor rgb="FFC55A11"/>
        <bgColor rgb="FFC55A11"/>
      </patternFill>
    </fill>
    <fill>
      <patternFill patternType="solid">
        <fgColor rgb="FFBF9000"/>
        <bgColor rgb="FFBF9000"/>
      </patternFill>
    </fill>
    <fill>
      <patternFill patternType="solid">
        <fgColor rgb="FF6A3D9A"/>
        <bgColor rgb="FF6A3D9A"/>
      </patternFill>
    </fill>
    <fill>
      <patternFill patternType="solid">
        <fgColor rgb="FF9C1B30"/>
        <bgColor rgb="FF9C1B30"/>
      </patternFill>
    </fill>
    <fill>
      <patternFill patternType="solid">
        <fgColor rgb="FF7030A0"/>
        <bgColor rgb="FF7030A0"/>
      </patternFill>
    </fill>
    <fill>
      <patternFill patternType="solid">
        <fgColor rgb="FF404040"/>
        <bgColor rgb="FF404040"/>
      </patternFill>
    </fill>
    <fill>
      <patternFill patternType="solid">
        <fgColor rgb="FF9C1C3D"/>
        <bgColor rgb="FF9C1C3D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E7D9A7"/>
        <bgColor rgb="FFE7D9A7"/>
      </patternFill>
    </fill>
    <fill>
      <patternFill patternType="solid">
        <fgColor rgb="FFE7BEB0"/>
        <bgColor rgb="FFE7BEB0"/>
      </patternFill>
    </fill>
    <fill>
      <patternFill patternType="solid">
        <fgColor rgb="FFADD5F5"/>
        <bgColor rgb="FFADD5F5"/>
      </patternFill>
    </fill>
    <fill>
      <patternFill patternType="solid">
        <fgColor rgb="FFFFFF00"/>
        <bgColor rgb="FFFFFF00"/>
      </patternFill>
    </fill>
    <fill>
      <patternFill patternType="solid">
        <fgColor rgb="FF405F90"/>
        <bgColor rgb="FF405F90"/>
      </patternFill>
    </fill>
    <fill>
      <patternFill patternType="solid">
        <fgColor rgb="FF1B365D"/>
        <bgColor rgb="FF1B365D"/>
      </patternFill>
    </fill>
    <fill>
      <patternFill patternType="solid">
        <fgColor rgb="FFA10C19"/>
        <bgColor rgb="FFA10C19"/>
      </patternFill>
    </fill>
    <fill>
      <patternFill patternType="solid">
        <fgColor rgb="FFEDF2FC"/>
        <bgColor rgb="FFEDF2FC"/>
      </patternFill>
    </fill>
    <fill>
      <patternFill patternType="solid">
        <fgColor rgb="FFEFF4F9"/>
        <bgColor rgb="FFEFF4F9"/>
      </patternFill>
    </fill>
    <fill>
      <patternFill patternType="solid">
        <fgColor rgb="FF254677"/>
        <bgColor rgb="FF254677"/>
      </patternFill>
    </fill>
    <fill>
      <patternFill patternType="solid">
        <fgColor rgb="FFD8E2F4"/>
        <bgColor rgb="FFD8E2F4"/>
      </patternFill>
    </fill>
    <fill>
      <patternFill patternType="solid">
        <fgColor rgb="FFEDF2F9"/>
        <bgColor rgb="FFEDF2F9"/>
      </patternFill>
    </fill>
  </fills>
  <borders count="2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BFBFBF"/>
      </bottom>
    </border>
    <border>
      <top style="thin">
        <color rgb="FF000000"/>
      </top>
      <bottom style="thin">
        <color rgb="FFBFBFBF"/>
      </bottom>
    </border>
    <border>
      <right style="thin">
        <color rgb="FF000000"/>
      </right>
      <top style="thin">
        <color rgb="FF000000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8B6F1A"/>
      </left>
      <right style="thin">
        <color rgb="FF8B6F1A"/>
      </right>
      <top style="thin">
        <color rgb="FFFFFFFF"/>
      </top>
      <bottom style="thin">
        <color rgb="FF8B6F1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8B6F1A"/>
      </left>
      <right style="thin">
        <color rgb="FF8B6F1A"/>
      </right>
      <top style="thin">
        <color rgb="FFF6F8F9"/>
      </top>
      <bottom style="thin">
        <color rgb="FF8B6F1A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8B6F1A"/>
      </left>
      <right style="thin">
        <color rgb="FF8B6F1A"/>
      </right>
      <top style="thin">
        <color rgb="FFE7D9A7"/>
      </top>
      <bottom style="thin">
        <color rgb="FF8B6F1A"/>
      </bottom>
    </border>
    <border>
      <left style="thin">
        <color rgb="FF8B6F1A"/>
      </left>
      <right style="thin">
        <color rgb="FF8B6F1A"/>
      </right>
      <top style="thin">
        <color rgb="FFE7BEB0"/>
      </top>
      <bottom style="thin">
        <color rgb="FF8B6F1A"/>
      </bottom>
    </border>
    <border>
      <left style="thin">
        <color rgb="FF8B6F1A"/>
      </left>
      <right style="thin">
        <color rgb="FF8B6F1A"/>
      </right>
      <top style="thin">
        <color rgb="FFADD5F5"/>
      </top>
      <bottom style="thin">
        <color rgb="FF8B6F1A"/>
      </bottom>
    </border>
    <border>
      <left style="thin">
        <color rgb="FF8B6F1A"/>
      </left>
      <right style="thin">
        <color rgb="FF8B6F1A"/>
      </right>
      <top style="thin">
        <color rgb="FFFFFF00"/>
      </top>
      <bottom style="thin">
        <color rgb="FF8B6F1A"/>
      </bottom>
    </border>
    <border>
      <left style="thin">
        <color rgb="FF8B6F1A"/>
      </left>
      <right style="thin">
        <color rgb="FF8B6F1A"/>
      </right>
      <top style="thin">
        <color rgb="FFA10C19"/>
      </top>
      <bottom style="thin">
        <color rgb="FF8B6F1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2" fontId="2" numFmtId="0" xfId="0" applyAlignment="1" applyFill="1" applyFont="1">
      <alignment horizontal="center" vertical="bottom"/>
    </xf>
    <xf borderId="2" fillId="0" fontId="3" numFmtId="0" xfId="0" applyBorder="1" applyFont="1"/>
    <xf borderId="0" fillId="3" fontId="2" numFmtId="0" xfId="0" applyAlignment="1" applyFill="1" applyFont="1">
      <alignment horizontal="center" vertical="bottom"/>
    </xf>
    <xf borderId="3" fillId="0" fontId="3" numFmtId="0" xfId="0" applyBorder="1" applyFont="1"/>
    <xf borderId="0" fillId="4" fontId="2" numFmtId="0" xfId="0" applyAlignment="1" applyFill="1" applyFont="1">
      <alignment horizontal="center" vertical="bottom"/>
    </xf>
    <xf borderId="1" fillId="5" fontId="4" numFmtId="0" xfId="0" applyAlignment="1" applyBorder="1" applyFill="1" applyFont="1">
      <alignment horizontal="center" vertical="bottom"/>
    </xf>
    <xf borderId="0" fillId="6" fontId="2" numFmtId="0" xfId="0" applyAlignment="1" applyFill="1" applyFont="1">
      <alignment horizontal="center" vertical="bottom"/>
    </xf>
    <xf borderId="4" fillId="3" fontId="2" numFmtId="0" xfId="0" applyAlignment="1" applyBorder="1" applyFill="1" applyFont="1">
      <alignment horizontal="center" vertical="bottom"/>
    </xf>
    <xf borderId="1" fillId="4" fontId="4" numFmtId="0" xfId="0" applyAlignment="1" applyBorder="1" applyFill="1" applyFont="1">
      <alignment horizontal="center" vertical="bottom"/>
    </xf>
    <xf borderId="0" fillId="7" fontId="2" numFmtId="0" xfId="0" applyAlignment="1" applyFill="1" applyFont="1">
      <alignment horizontal="center" vertical="bottom"/>
    </xf>
    <xf borderId="5" fillId="0" fontId="3" numFmtId="0" xfId="0" applyBorder="1" applyFont="1"/>
    <xf borderId="1" fillId="8" fontId="4" numFmtId="0" xfId="0" applyAlignment="1" applyBorder="1" applyFill="1" applyFont="1">
      <alignment horizontal="center" vertical="bottom"/>
    </xf>
    <xf borderId="6" fillId="0" fontId="3" numFmtId="0" xfId="0" applyBorder="1" applyFont="1"/>
    <xf borderId="0" fillId="9" fontId="2" numFmtId="0" xfId="0" applyAlignment="1" applyFill="1" applyFont="1">
      <alignment horizontal="center" vertical="bottom"/>
    </xf>
    <xf borderId="1" fillId="7" fontId="4" numFmtId="0" xfId="0" applyAlignment="1" applyBorder="1" applyFill="1" applyFont="1">
      <alignment horizontal="center" vertical="bottom"/>
    </xf>
    <xf borderId="0" fillId="10" fontId="2" numFmtId="0" xfId="0" applyAlignment="1" applyFill="1" applyFont="1">
      <alignment horizontal="center" vertical="bottom"/>
    </xf>
    <xf borderId="4" fillId="4" fontId="2" numFmtId="0" xfId="0" applyAlignment="1" applyBorder="1" applyFill="1" applyFont="1">
      <alignment horizontal="center" vertical="bottom"/>
    </xf>
    <xf borderId="1" fillId="11" fontId="4" numFmtId="0" xfId="0" applyAlignment="1" applyBorder="1" applyFill="1" applyFont="1">
      <alignment horizontal="center" vertical="bottom"/>
    </xf>
    <xf borderId="7" fillId="12" fontId="2" numFmtId="0" xfId="0" applyAlignment="1" applyBorder="1" applyFill="1" applyFont="1">
      <alignment horizontal="center" vertical="bottom"/>
    </xf>
    <xf borderId="1" fillId="13" fontId="4" numFmtId="0" xfId="0" applyAlignment="1" applyBorder="1" applyFill="1" applyFont="1">
      <alignment horizontal="center" vertical="bottom"/>
    </xf>
    <xf borderId="4" fillId="6" fontId="2" numFmtId="0" xfId="0" applyAlignment="1" applyBorder="1" applyFill="1" applyFont="1">
      <alignment horizontal="center" vertical="bottom"/>
    </xf>
    <xf borderId="8" fillId="12" fontId="2" numFmtId="0" xfId="0" applyAlignment="1" applyBorder="1" applyFill="1" applyFont="1">
      <alignment horizontal="center" vertical="bottom"/>
    </xf>
    <xf borderId="9" fillId="12" fontId="2" numFmtId="0" xfId="0" applyAlignment="1" applyBorder="1" applyFill="1" applyFont="1">
      <alignment horizontal="center" vertical="bottom"/>
    </xf>
    <xf borderId="4" fillId="7" fontId="2" numFmtId="0" xfId="0" applyAlignment="1" applyBorder="1" applyFill="1" applyFont="1">
      <alignment horizontal="center" vertical="bottom"/>
    </xf>
    <xf borderId="7" fillId="14" fontId="5" numFmtId="0" xfId="0" applyAlignment="1" applyBorder="1" applyFill="1" applyFont="1">
      <alignment horizontal="center" vertical="bottom"/>
    </xf>
    <xf borderId="7" fillId="14" fontId="6" numFmtId="0" xfId="0" applyAlignment="1" applyBorder="1" applyFill="1" applyFont="1">
      <alignment vertical="bottom"/>
    </xf>
    <xf borderId="7" fillId="0" fontId="7" numFmtId="0" xfId="0" applyAlignment="1" applyBorder="1" applyFont="1">
      <alignment horizontal="center" vertical="bottom"/>
    </xf>
    <xf borderId="7" fillId="14" fontId="6" numFmtId="0" xfId="0" applyAlignment="1" applyBorder="1" applyFill="1" applyFont="1">
      <alignment horizontal="center" vertical="bottom"/>
    </xf>
    <xf borderId="7" fillId="0" fontId="8" numFmtId="0" xfId="0" applyAlignment="1" applyBorder="1" applyFont="1">
      <alignment vertical="bottom"/>
    </xf>
    <xf borderId="7" fillId="0" fontId="8" numFmtId="0" xfId="0" applyAlignment="1" applyBorder="1" applyFont="1">
      <alignment horizontal="center" vertical="bottom"/>
    </xf>
    <xf borderId="4" fillId="9" fontId="2" numFmtId="0" xfId="0" applyAlignment="1" applyBorder="1" applyFill="1" applyFont="1">
      <alignment horizontal="center" vertical="bottom"/>
    </xf>
    <xf borderId="4" fillId="10" fontId="2" numFmtId="0" xfId="0" applyAlignment="1" applyBorder="1" applyFill="1" applyFont="1">
      <alignment horizontal="center" vertical="bottom"/>
    </xf>
    <xf borderId="0" fillId="0" fontId="9" numFmtId="0" xfId="0" applyAlignment="1" applyFont="1">
      <alignment horizontal="left" readingOrder="0" shrinkToFit="0" vertical="bottom" wrapText="0"/>
    </xf>
    <xf borderId="0" fillId="0" fontId="9" numFmtId="0" xfId="0" applyAlignment="1" applyFont="1">
      <alignment horizontal="left" readingOrder="0" shrinkToFit="0" vertical="center" wrapText="0"/>
    </xf>
    <xf borderId="0" fillId="0" fontId="10" numFmtId="0" xfId="0" applyAlignment="1" applyFont="1">
      <alignment horizontal="left" readingOrder="0" shrinkToFit="0" vertical="center" wrapText="0"/>
    </xf>
    <xf borderId="7" fillId="14" fontId="11" numFmtId="0" xfId="0" applyAlignment="1" applyBorder="1" applyFill="1" applyFont="1">
      <alignment shrinkToFit="0" vertical="bottom" wrapText="0"/>
    </xf>
    <xf borderId="7" fillId="14" fontId="11" numFmtId="0" xfId="0" applyAlignment="1" applyBorder="1" applyFill="1" applyFont="1">
      <alignment shrinkToFit="0" vertical="center" wrapText="0"/>
    </xf>
    <xf borderId="7" fillId="14" fontId="11" numFmtId="0" xfId="0" applyAlignment="1" applyBorder="1" applyFill="1" applyFont="1">
      <alignment shrinkToFit="0" vertical="bottom" wrapText="0"/>
    </xf>
    <xf borderId="10" fillId="14" fontId="12" numFmtId="0" xfId="0" applyAlignment="1" applyBorder="1" applyFill="1" applyFont="1">
      <alignment shrinkToFit="0" vertical="center" wrapText="0"/>
    </xf>
    <xf borderId="11" fillId="14" fontId="13" numFmtId="0" xfId="0" applyAlignment="1" applyBorder="1" applyFill="1" applyFont="1">
      <alignment shrinkToFit="0" vertical="center" wrapText="0"/>
    </xf>
    <xf borderId="12" fillId="14" fontId="13" numFmtId="0" xfId="0" applyAlignment="1" applyBorder="1" applyFill="1" applyFont="1">
      <alignment shrinkToFit="0" vertical="center" wrapText="0"/>
    </xf>
    <xf borderId="7" fillId="14" fontId="8" numFmtId="0" xfId="0" applyAlignment="1" applyBorder="1" applyFill="1" applyFont="1">
      <alignment vertical="bottom"/>
    </xf>
    <xf borderId="7" fillId="0" fontId="14" numFmtId="0" xfId="0" applyAlignment="1" applyBorder="1" applyFont="1">
      <alignment vertical="bottom"/>
    </xf>
    <xf borderId="7" fillId="15" fontId="11" numFmtId="0" xfId="0" applyAlignment="1" applyBorder="1" applyFill="1" applyFont="1">
      <alignment shrinkToFit="0" vertical="bottom" wrapText="0"/>
    </xf>
    <xf borderId="7" fillId="15" fontId="11" numFmtId="0" xfId="0" applyAlignment="1" applyBorder="1" applyFill="1" applyFont="1">
      <alignment shrinkToFit="0" vertical="center" wrapText="0"/>
    </xf>
    <xf borderId="7" fillId="15" fontId="11" numFmtId="0" xfId="0" applyAlignment="1" applyBorder="1" applyFill="1" applyFont="1">
      <alignment shrinkToFit="0" vertical="bottom" wrapText="0"/>
    </xf>
    <xf borderId="13" fillId="15" fontId="15" numFmtId="0" xfId="0" applyAlignment="1" applyBorder="1" applyFill="1" applyFont="1">
      <alignment shrinkToFit="0" vertical="center" wrapText="0"/>
    </xf>
    <xf borderId="14" fillId="15" fontId="13" numFmtId="0" xfId="0" applyAlignment="1" applyBorder="1" applyFill="1" applyFont="1">
      <alignment shrinkToFit="0" vertical="center" wrapText="0"/>
    </xf>
    <xf borderId="15" fillId="15" fontId="13" numFmtId="0" xfId="0" applyAlignment="1" applyBorder="1" applyFill="1" applyFont="1">
      <alignment shrinkToFit="0" vertical="center" wrapText="0"/>
    </xf>
    <xf borderId="10" fillId="14" fontId="16" numFmtId="0" xfId="0" applyAlignment="1" applyBorder="1" applyFill="1" applyFont="1">
      <alignment shrinkToFit="0" vertical="center" wrapText="0"/>
    </xf>
    <xf borderId="10" fillId="14" fontId="17" numFmtId="0" xfId="0" applyAlignment="1" applyBorder="1" applyFill="1" applyFont="1">
      <alignment shrinkToFit="0" vertical="center" wrapText="0"/>
    </xf>
    <xf borderId="7" fillId="16" fontId="11" numFmtId="0" xfId="0" applyAlignment="1" applyBorder="1" applyFill="1" applyFont="1">
      <alignment shrinkToFit="0" vertical="center" wrapText="0"/>
    </xf>
    <xf borderId="7" fillId="16" fontId="11" numFmtId="0" xfId="0" applyAlignment="1" applyBorder="1" applyFill="1" applyFont="1">
      <alignment shrinkToFit="0" vertical="bottom" wrapText="0"/>
    </xf>
    <xf borderId="16" fillId="16" fontId="16" numFmtId="0" xfId="0" applyAlignment="1" applyBorder="1" applyFill="1" applyFont="1">
      <alignment shrinkToFit="0" vertical="center" wrapText="0"/>
    </xf>
    <xf borderId="13" fillId="15" fontId="17" numFmtId="0" xfId="0" applyAlignment="1" applyBorder="1" applyFill="1" applyFont="1">
      <alignment shrinkToFit="0" vertical="center" wrapText="0"/>
    </xf>
    <xf borderId="7" fillId="17" fontId="11" numFmtId="0" xfId="0" applyAlignment="1" applyBorder="1" applyFill="1" applyFont="1">
      <alignment shrinkToFit="0" vertical="center" wrapText="0"/>
    </xf>
    <xf borderId="7" fillId="17" fontId="11" numFmtId="0" xfId="0" applyAlignment="1" applyBorder="1" applyFill="1" applyFont="1">
      <alignment shrinkToFit="0" vertical="bottom" wrapText="0"/>
    </xf>
    <xf borderId="17" fillId="17" fontId="15" numFmtId="0" xfId="0" applyAlignment="1" applyBorder="1" applyFill="1" applyFont="1">
      <alignment shrinkToFit="0" vertical="center" wrapText="0"/>
    </xf>
    <xf borderId="13" fillId="15" fontId="12" numFmtId="0" xfId="0" applyAlignment="1" applyBorder="1" applyFill="1" applyFont="1">
      <alignment shrinkToFit="0" vertical="center" wrapText="0"/>
    </xf>
    <xf borderId="10" fillId="14" fontId="15" numFmtId="0" xfId="0" applyAlignment="1" applyBorder="1" applyFill="1" applyFont="1">
      <alignment shrinkToFit="0" vertical="center" wrapText="0"/>
    </xf>
    <xf borderId="13" fillId="15" fontId="16" numFmtId="0" xfId="0" applyAlignment="1" applyBorder="1" applyFill="1" applyFont="1">
      <alignment shrinkToFit="0" vertical="center" wrapText="0"/>
    </xf>
    <xf borderId="7" fillId="18" fontId="11" numFmtId="0" xfId="0" applyAlignment="1" applyBorder="1" applyFill="1" applyFont="1">
      <alignment shrinkToFit="0" vertical="center" wrapText="0"/>
    </xf>
    <xf borderId="7" fillId="18" fontId="11" numFmtId="0" xfId="0" applyAlignment="1" applyBorder="1" applyFill="1" applyFont="1">
      <alignment shrinkToFit="0" vertical="bottom" wrapText="0"/>
    </xf>
    <xf borderId="18" fillId="18" fontId="12" numFmtId="0" xfId="0" applyAlignment="1" applyBorder="1" applyFill="1" applyFont="1">
      <alignment shrinkToFit="0" vertical="center" wrapText="0"/>
    </xf>
    <xf borderId="7" fillId="19" fontId="11" numFmtId="0" xfId="0" applyAlignment="1" applyBorder="1" applyFill="1" applyFont="1">
      <alignment shrinkToFit="0" vertical="center" wrapText="0"/>
    </xf>
    <xf borderId="7" fillId="19" fontId="11" numFmtId="0" xfId="0" applyAlignment="1" applyBorder="1" applyFill="1" applyFont="1">
      <alignment shrinkToFit="0" vertical="bottom" wrapText="0"/>
    </xf>
    <xf borderId="19" fillId="19" fontId="18" numFmtId="0" xfId="0" applyAlignment="1" applyBorder="1" applyFill="1" applyFont="1">
      <alignment shrinkToFit="0" vertical="center" wrapText="0"/>
    </xf>
    <xf borderId="0" fillId="20" fontId="19" numFmtId="0" xfId="0" applyAlignment="1" applyFill="1" applyFont="1">
      <alignment horizontal="center" readingOrder="0" vertical="center"/>
    </xf>
    <xf borderId="0" fillId="0" fontId="20" numFmtId="0" xfId="0" applyAlignment="1" applyFont="1">
      <alignment readingOrder="0"/>
    </xf>
    <xf borderId="0" fillId="21" fontId="19" numFmtId="0" xfId="0" applyAlignment="1" applyFill="1" applyFont="1">
      <alignment horizontal="center" readingOrder="0" vertical="center"/>
    </xf>
    <xf borderId="0" fillId="21" fontId="19" numFmtId="0" xfId="0" applyAlignment="1" applyFill="1" applyFont="1">
      <alignment horizontal="center" readingOrder="0" vertical="center"/>
    </xf>
    <xf borderId="0" fillId="21" fontId="19" numFmtId="0" xfId="0" applyAlignment="1" applyFill="1" applyFont="1">
      <alignment horizontal="center" vertical="center"/>
    </xf>
    <xf borderId="0" fillId="0" fontId="20" numFmtId="0" xfId="0" applyAlignment="1" applyFont="1">
      <alignment readingOrder="0"/>
    </xf>
    <xf borderId="0" fillId="0" fontId="20" numFmtId="0" xfId="0" applyFont="1"/>
    <xf borderId="7" fillId="22" fontId="11" numFmtId="0" xfId="0" applyAlignment="1" applyBorder="1" applyFill="1" applyFont="1">
      <alignment shrinkToFit="0" vertical="center" wrapText="0"/>
    </xf>
    <xf borderId="7" fillId="22" fontId="11" numFmtId="0" xfId="0" applyAlignment="1" applyBorder="1" applyFill="1" applyFont="1">
      <alignment shrinkToFit="0" vertical="bottom" wrapText="0"/>
    </xf>
    <xf borderId="20" fillId="22" fontId="17" numFmtId="0" xfId="0" applyAlignment="1" applyBorder="1" applyFill="1" applyFont="1">
      <alignment shrinkToFit="0" vertical="center" wrapText="0"/>
    </xf>
    <xf borderId="0" fillId="0" fontId="20" numFmtId="0" xfId="0" applyFont="1"/>
    <xf borderId="7" fillId="14" fontId="21" numFmtId="0" xfId="0" applyAlignment="1" applyBorder="1" applyFill="1" applyFont="1">
      <alignment shrinkToFit="0" vertical="bottom" wrapText="0"/>
    </xf>
    <xf borderId="7" fillId="15" fontId="21" numFmtId="0" xfId="0" applyAlignment="1" applyBorder="1" applyFill="1" applyFont="1">
      <alignment shrinkToFit="0" vertical="bottom" wrapText="0"/>
    </xf>
    <xf borderId="0" fillId="21" fontId="22" numFmtId="0" xfId="0" applyAlignment="1" applyFill="1" applyFont="1">
      <alignment readingOrder="0" vertical="center"/>
    </xf>
    <xf borderId="0" fillId="23" fontId="23" numFmtId="0" xfId="0" applyAlignment="1" applyFill="1" applyFont="1">
      <alignment horizontal="left" readingOrder="0" vertical="center"/>
    </xf>
    <xf borderId="0" fillId="24" fontId="24" numFmtId="0" xfId="0" applyAlignment="1" applyFill="1" applyFont="1">
      <alignment horizontal="center" readingOrder="0" vertical="center"/>
    </xf>
    <xf borderId="0" fillId="24" fontId="25" numFmtId="0" xfId="0" applyAlignment="1" applyFill="1" applyFont="1">
      <alignment horizontal="center" vertical="center"/>
    </xf>
    <xf borderId="0" fillId="24" fontId="26" numFmtId="0" xfId="0" applyAlignment="1" applyFill="1" applyFont="1">
      <alignment horizontal="center" readingOrder="0" vertical="center"/>
    </xf>
    <xf borderId="0" fillId="23" fontId="23" numFmtId="0" xfId="0" applyAlignment="1" applyFill="1" applyFont="1">
      <alignment horizontal="left" vertical="center"/>
    </xf>
    <xf borderId="7" fillId="16" fontId="21" numFmtId="0" xfId="0" applyAlignment="1" applyBorder="1" applyFill="1" applyFont="1">
      <alignment shrinkToFit="0" vertical="bottom" wrapText="0"/>
    </xf>
    <xf borderId="0" fillId="25" fontId="22" numFmtId="0" xfId="0" applyAlignment="1" applyFill="1" applyFont="1">
      <alignment horizontal="center" readingOrder="0" shrinkToFit="0" vertical="center" wrapText="1"/>
    </xf>
    <xf borderId="0" fillId="25" fontId="22" numFmtId="0" xfId="0" applyAlignment="1" applyFill="1" applyFont="1">
      <alignment horizontal="center" shrinkToFit="0" vertical="center" wrapText="1"/>
    </xf>
    <xf borderId="0" fillId="0" fontId="27" numFmtId="0" xfId="0" applyAlignment="1" applyFont="1">
      <alignment horizontal="center" readingOrder="0" vertical="center"/>
    </xf>
    <xf borderId="0" fillId="0" fontId="27" numFmtId="0" xfId="0" applyAlignment="1" applyFont="1">
      <alignment horizontal="center" vertical="center"/>
    </xf>
    <xf borderId="7" fillId="14" fontId="28" numFmtId="0" xfId="0" applyAlignment="1" applyBorder="1" applyFill="1" applyFont="1">
      <alignment shrinkToFit="0" vertical="bottom" wrapText="0"/>
    </xf>
    <xf borderId="21" fillId="14" fontId="13" numFmtId="0" xfId="0" applyAlignment="1" applyBorder="1" applyFill="1" applyFont="1">
      <alignment shrinkToFit="0" vertical="center" wrapText="0"/>
    </xf>
    <xf borderId="22" fillId="14" fontId="13" numFmtId="0" xfId="0" applyAlignment="1" applyBorder="1" applyFill="1" applyFont="1">
      <alignment shrinkToFit="0" vertical="center" wrapText="0"/>
    </xf>
    <xf borderId="0" fillId="26" fontId="29" numFmtId="0" xfId="0" applyAlignment="1" applyFill="1" applyFont="1">
      <alignment horizontal="right" readingOrder="0" vertical="center"/>
    </xf>
    <xf borderId="0" fillId="26" fontId="29" numFmtId="0" xfId="0" applyAlignment="1" applyFill="1" applyFont="1">
      <alignment horizontal="right" vertical="center"/>
    </xf>
    <xf borderId="0" fillId="27" fontId="30" numFmtId="0" xfId="0" applyAlignment="1" applyFill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1B365D"/>
          <bgColor rgb="FF1B365D"/>
        </patternFill>
      </fill>
      <border/>
    </dxf>
    <dxf>
      <font/>
      <fill>
        <patternFill patternType="solid">
          <fgColor rgb="FFF7F9FF"/>
          <bgColor rgb="FFF7F9FF"/>
        </patternFill>
      </fill>
      <border/>
    </dxf>
    <dxf>
      <font/>
      <fill>
        <patternFill patternType="solid">
          <fgColor rgb="FF254677"/>
          <bgColor rgb="FF254677"/>
        </patternFill>
      </fill>
      <border/>
    </dxf>
    <dxf>
      <font/>
      <fill>
        <patternFill patternType="solid">
          <fgColor rgb="FFF6F8FD"/>
          <bgColor rgb="FFF6F8FD"/>
        </patternFill>
      </fill>
      <border/>
    </dxf>
    <dxf>
      <font>
        <b/>
        <color rgb="FF137333"/>
      </font>
      <fill>
        <patternFill patternType="solid">
          <fgColor rgb="FFE6F4EA"/>
          <bgColor rgb="FFE6F4EA"/>
        </patternFill>
      </fill>
      <border/>
    </dxf>
    <dxf>
      <font>
        <b/>
        <color rgb="FFAF5F00"/>
      </font>
      <fill>
        <patternFill patternType="solid">
          <fgColor rgb="FFFDF7DF"/>
          <bgColor rgb="FFFDF7DF"/>
        </patternFill>
      </fill>
      <border/>
    </dxf>
    <dxf>
      <font>
        <b/>
        <color rgb="FFC5211F"/>
      </font>
      <fill>
        <patternFill patternType="solid">
          <fgColor rgb="FFFBE8E6"/>
          <bgColor rgb="FFFBE8E6"/>
        </patternFill>
      </fill>
      <border/>
    </dxf>
    <dxf>
      <font>
        <b/>
        <color rgb="FF1A73E8"/>
      </font>
      <fill>
        <patternFill patternType="solid">
          <fgColor rgb="FFE8EFFD"/>
          <bgColor rgb="FFE8EFFD"/>
        </patternFill>
      </fill>
      <border/>
    </dxf>
  </dxfs>
  <tableStyles count="3">
    <tableStyle count="4" pivot="0" name="TEA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MASTER LIST-style">
      <tableStyleElement dxfId="5" type="headerRow"/>
      <tableStyleElement dxfId="2" type="firstRowStripe"/>
      <tableStyleElement dxfId="6" type="secondRowStripe"/>
    </tableStyle>
    <tableStyle count="3" pivot="0" name="REGISTRATION_DESK-style">
      <tableStyleElement dxfId="7" type="headerRow"/>
      <tableStyleElement dxfId="2" type="firstRowStripe"/>
      <tableStyleElement dxfId="8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94" displayName="Table1" name="Table1" id="1">
  <tableColumns count="6">
    <tableColumn name="SI NO" id="1"/>
    <tableColumn name="AD NO" id="2"/>
    <tableColumn name="NAME" id="3"/>
    <tableColumn name="TEAM" id="4"/>
    <tableColumn name="CLASS" id="5"/>
    <tableColumn name="CATEGARY" id="6"/>
  </tableColumns>
  <tableStyleInfo name="TEAM-style" showColumnStripes="0" showFirstColumn="1" showLastColumn="1" showRowStripes="1"/>
</table>
</file>

<file path=xl/tables/table2.xml><?xml version="1.0" encoding="utf-8"?>
<table xmlns="http://schemas.openxmlformats.org/spreadsheetml/2006/main" ref="A1:X294" displayName="Table_1" name="Table_1" id="2">
  <tableColumns count="24">
    <tableColumn name=" " id="1"/>
    <tableColumn name="NAME" id="2"/>
    <tableColumn name="CLASS" id="3"/>
    <tableColumn name="CATEGORY" id="4"/>
    <tableColumn name="TEAM" id="5"/>
    <tableColumn name="STATUS" id="6"/>
    <tableColumn name="Non-Stage Count" id="7"/>
    <tableColumn name="ST Count" id="8"/>
    <tableColumn name="Sports Count" id="9"/>
    <tableColumn name="Individual Count" id="10"/>
    <tableColumn name="Group Count" id="11"/>
    <tableColumn name="Total Count" id="12"/>
    <tableColumn name="Bylaw Status" id="13"/>
    <tableColumn name="REG 1" id="14"/>
    <tableColumn name="REG 2" id="15"/>
    <tableColumn name="REG 3" id="16"/>
    <tableColumn name="REG 4" id="17"/>
    <tableColumn name="REG 5" id="18"/>
    <tableColumn name="REG 6" id="19"/>
    <tableColumn name="REG 7" id="20"/>
    <tableColumn name="REG 8" id="21"/>
    <tableColumn name="REG 9" id="22"/>
    <tableColumn name="REG 10" id="23"/>
    <tableColumn name="REG 11" id="24"/>
  </tableColumns>
  <tableStyleInfo name="MASTER LIST-style" showColumnStripes="0" showFirstColumn="1" showLastColumn="1" showRowStripes="1"/>
</table>
</file>

<file path=xl/tables/table3.xml><?xml version="1.0" encoding="utf-8"?>
<table xmlns="http://schemas.openxmlformats.org/spreadsheetml/2006/main" ref="A6:F35" displayName="Table_2" name="Table_2" id="3">
  <tableColumns count="6">
    <tableColumn name="AD NO" id="1"/>
    <tableColumn name="STUDENT NAME" id="2"/>
    <tableColumn name="CLASS" id="3"/>
    <tableColumn name="CATEGORY" id="4"/>
    <tableColumn name="TEAM" id="5"/>
    <tableColumn name="BYLAW STATUS" id="6"/>
  </tableColumns>
  <tableStyleInfo name="REGISTRATION_DESK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34" t="s">
        <v>30</v>
      </c>
      <c r="B1" s="35" t="s">
        <v>96</v>
      </c>
      <c r="C1" s="34" t="s">
        <v>107</v>
      </c>
      <c r="D1" s="36" t="s">
        <v>119</v>
      </c>
      <c r="E1" s="36" t="s">
        <v>125</v>
      </c>
      <c r="F1" s="36" t="s">
        <v>134</v>
      </c>
    </row>
    <row r="2" ht="22.5" customHeight="1">
      <c r="A2" s="37">
        <v>1.0</v>
      </c>
      <c r="B2" s="38">
        <v>67.0</v>
      </c>
      <c r="C2" s="39" t="s">
        <v>188</v>
      </c>
      <c r="D2" s="40" t="s">
        <v>195</v>
      </c>
      <c r="E2" s="41">
        <v>10.0</v>
      </c>
      <c r="F2" s="42" t="s">
        <v>8</v>
      </c>
    </row>
    <row r="3" ht="22.5" customHeight="1">
      <c r="A3" s="45">
        <v>2.0</v>
      </c>
      <c r="B3" s="46">
        <v>68.0</v>
      </c>
      <c r="C3" s="47" t="s">
        <v>317</v>
      </c>
      <c r="D3" s="48" t="s">
        <v>331</v>
      </c>
      <c r="E3" s="49">
        <v>10.0</v>
      </c>
      <c r="F3" s="50" t="s">
        <v>8</v>
      </c>
    </row>
    <row r="4" ht="22.5" customHeight="1">
      <c r="A4" s="37">
        <v>3.0</v>
      </c>
      <c r="B4" s="38">
        <v>357.0</v>
      </c>
      <c r="C4" s="39" t="s">
        <v>374</v>
      </c>
      <c r="D4" s="51" t="s">
        <v>380</v>
      </c>
      <c r="E4" s="41">
        <v>10.0</v>
      </c>
      <c r="F4" s="42" t="s">
        <v>8</v>
      </c>
    </row>
    <row r="5" ht="22.5" customHeight="1">
      <c r="A5" s="45">
        <v>4.0</v>
      </c>
      <c r="B5" s="46">
        <v>71.0</v>
      </c>
      <c r="C5" s="47" t="s">
        <v>417</v>
      </c>
      <c r="D5" s="48" t="s">
        <v>331</v>
      </c>
      <c r="E5" s="49">
        <v>10.0</v>
      </c>
      <c r="F5" s="50" t="s">
        <v>8</v>
      </c>
    </row>
    <row r="6" ht="22.5" customHeight="1">
      <c r="A6" s="37">
        <v>5.0</v>
      </c>
      <c r="B6" s="38">
        <v>393.0</v>
      </c>
      <c r="C6" s="39" t="s">
        <v>446</v>
      </c>
      <c r="D6" s="52" t="s">
        <v>450</v>
      </c>
      <c r="E6" s="41">
        <v>10.0</v>
      </c>
      <c r="F6" s="42" t="s">
        <v>8</v>
      </c>
    </row>
    <row r="7" ht="22.5" customHeight="1">
      <c r="A7" s="45">
        <v>6.0</v>
      </c>
      <c r="B7" s="53">
        <v>78.0</v>
      </c>
      <c r="C7" s="54" t="s">
        <v>467</v>
      </c>
      <c r="D7" s="55" t="s">
        <v>380</v>
      </c>
      <c r="E7" s="49">
        <v>10.0</v>
      </c>
      <c r="F7" s="50" t="s">
        <v>8</v>
      </c>
    </row>
    <row r="8" ht="22.5" customHeight="1">
      <c r="A8" s="37">
        <v>7.0</v>
      </c>
      <c r="B8" s="38">
        <v>356.0</v>
      </c>
      <c r="C8" s="39" t="s">
        <v>479</v>
      </c>
      <c r="D8" s="40" t="s">
        <v>195</v>
      </c>
      <c r="E8" s="41">
        <v>10.0</v>
      </c>
      <c r="F8" s="42" t="s">
        <v>8</v>
      </c>
    </row>
    <row r="9" ht="22.5" customHeight="1">
      <c r="A9" s="45">
        <v>8.0</v>
      </c>
      <c r="B9" s="46">
        <v>354.0</v>
      </c>
      <c r="C9" s="47" t="s">
        <v>494</v>
      </c>
      <c r="D9" s="56" t="s">
        <v>450</v>
      </c>
      <c r="E9" s="49">
        <v>10.0</v>
      </c>
      <c r="F9" s="50" t="s">
        <v>8</v>
      </c>
    </row>
    <row r="10" ht="22.5" customHeight="1">
      <c r="A10" s="37">
        <v>9.0</v>
      </c>
      <c r="B10" s="38">
        <v>56.0</v>
      </c>
      <c r="C10" s="39" t="s">
        <v>507</v>
      </c>
      <c r="D10" s="52" t="s">
        <v>450</v>
      </c>
      <c r="E10" s="41">
        <v>10.0</v>
      </c>
      <c r="F10" s="42" t="s">
        <v>8</v>
      </c>
    </row>
    <row r="11" ht="22.5" customHeight="1">
      <c r="A11" s="45">
        <v>10.0</v>
      </c>
      <c r="B11" s="57">
        <v>64.0</v>
      </c>
      <c r="C11" s="58" t="s">
        <v>521</v>
      </c>
      <c r="D11" s="59" t="s">
        <v>331</v>
      </c>
      <c r="E11" s="49">
        <v>10.0</v>
      </c>
      <c r="F11" s="50" t="s">
        <v>8</v>
      </c>
    </row>
    <row r="12" ht="22.5" customHeight="1">
      <c r="A12" s="37">
        <v>11.0</v>
      </c>
      <c r="B12" s="38">
        <v>45.0</v>
      </c>
      <c r="C12" s="39" t="s">
        <v>533</v>
      </c>
      <c r="D12" s="52" t="s">
        <v>450</v>
      </c>
      <c r="E12" s="41">
        <v>10.0</v>
      </c>
      <c r="F12" s="42" t="s">
        <v>8</v>
      </c>
    </row>
    <row r="13" ht="22.5" customHeight="1">
      <c r="A13" s="45">
        <v>12.0</v>
      </c>
      <c r="B13" s="46">
        <v>66.0</v>
      </c>
      <c r="C13" s="47" t="s">
        <v>540</v>
      </c>
      <c r="D13" s="60" t="s">
        <v>195</v>
      </c>
      <c r="E13" s="49">
        <v>10.0</v>
      </c>
      <c r="F13" s="50" t="s">
        <v>8</v>
      </c>
    </row>
    <row r="14" ht="22.5" customHeight="1">
      <c r="A14" s="37">
        <v>13.0</v>
      </c>
      <c r="B14" s="38">
        <v>49.0</v>
      </c>
      <c r="C14" s="39" t="s">
        <v>554</v>
      </c>
      <c r="D14" s="51" t="s">
        <v>380</v>
      </c>
      <c r="E14" s="41">
        <v>10.0</v>
      </c>
      <c r="F14" s="42" t="s">
        <v>8</v>
      </c>
    </row>
    <row r="15" ht="22.5" customHeight="1">
      <c r="A15" s="45">
        <v>14.0</v>
      </c>
      <c r="B15" s="46">
        <v>48.0</v>
      </c>
      <c r="C15" s="47" t="s">
        <v>567</v>
      </c>
      <c r="D15" s="48" t="s">
        <v>331</v>
      </c>
      <c r="E15" s="49">
        <v>10.0</v>
      </c>
      <c r="F15" s="50" t="s">
        <v>8</v>
      </c>
    </row>
    <row r="16" ht="22.5" customHeight="1">
      <c r="A16" s="37">
        <v>15.0</v>
      </c>
      <c r="B16" s="38">
        <v>9.0</v>
      </c>
      <c r="C16" s="39" t="s">
        <v>579</v>
      </c>
      <c r="D16" s="61" t="s">
        <v>331</v>
      </c>
      <c r="E16" s="41">
        <v>10.0</v>
      </c>
      <c r="F16" s="42" t="s">
        <v>8</v>
      </c>
    </row>
    <row r="17" ht="22.5" customHeight="1">
      <c r="A17" s="45">
        <v>16.0</v>
      </c>
      <c r="B17" s="46">
        <v>47.0</v>
      </c>
      <c r="C17" s="47" t="s">
        <v>590</v>
      </c>
      <c r="D17" s="62" t="s">
        <v>380</v>
      </c>
      <c r="E17" s="49">
        <v>10.0</v>
      </c>
      <c r="F17" s="50" t="s">
        <v>8</v>
      </c>
    </row>
    <row r="18" ht="22.5" customHeight="1">
      <c r="A18" s="37">
        <v>17.0</v>
      </c>
      <c r="B18" s="63">
        <v>60.0</v>
      </c>
      <c r="C18" s="64" t="s">
        <v>599</v>
      </c>
      <c r="D18" s="65" t="s">
        <v>195</v>
      </c>
      <c r="E18" s="41">
        <v>10.0</v>
      </c>
      <c r="F18" s="42" t="s">
        <v>8</v>
      </c>
    </row>
    <row r="19" ht="22.5" customHeight="1">
      <c r="A19" s="45">
        <v>18.0</v>
      </c>
      <c r="B19" s="46">
        <v>59.0</v>
      </c>
      <c r="C19" s="47" t="s">
        <v>608</v>
      </c>
      <c r="D19" s="60" t="s">
        <v>195</v>
      </c>
      <c r="E19" s="49">
        <v>10.0</v>
      </c>
      <c r="F19" s="50" t="s">
        <v>8</v>
      </c>
    </row>
    <row r="20" ht="22.5" customHeight="1">
      <c r="A20" s="37">
        <v>19.0</v>
      </c>
      <c r="B20" s="66">
        <v>355.0</v>
      </c>
      <c r="C20" s="67" t="s">
        <v>609</v>
      </c>
      <c r="D20" s="68" t="s">
        <v>610</v>
      </c>
      <c r="E20" s="41">
        <v>10.0</v>
      </c>
      <c r="F20" s="42" t="s">
        <v>610</v>
      </c>
    </row>
    <row r="21" ht="22.5" customHeight="1">
      <c r="A21" s="45">
        <v>20.0</v>
      </c>
      <c r="B21" s="46">
        <v>61.0</v>
      </c>
      <c r="C21" s="47" t="s">
        <v>623</v>
      </c>
      <c r="D21" s="48" t="s">
        <v>331</v>
      </c>
      <c r="E21" s="49">
        <v>10.0</v>
      </c>
      <c r="F21" s="50" t="s">
        <v>8</v>
      </c>
    </row>
    <row r="22" ht="22.5" customHeight="1">
      <c r="A22" s="37">
        <v>21.0</v>
      </c>
      <c r="B22" s="38">
        <v>353.0</v>
      </c>
      <c r="C22" s="39" t="s">
        <v>624</v>
      </c>
      <c r="D22" s="40" t="s">
        <v>195</v>
      </c>
      <c r="E22" s="41">
        <v>10.0</v>
      </c>
      <c r="F22" s="42" t="s">
        <v>8</v>
      </c>
    </row>
    <row r="23" ht="22.5" customHeight="1">
      <c r="A23" s="45">
        <v>22.0</v>
      </c>
      <c r="B23" s="46">
        <v>10.0</v>
      </c>
      <c r="C23" s="47" t="s">
        <v>652</v>
      </c>
      <c r="D23" s="62" t="s">
        <v>380</v>
      </c>
      <c r="E23" s="49">
        <v>10.0</v>
      </c>
      <c r="F23" s="50" t="s">
        <v>8</v>
      </c>
    </row>
    <row r="24" ht="22.5" customHeight="1">
      <c r="A24" s="37">
        <v>23.0</v>
      </c>
      <c r="B24" s="76">
        <v>41.0</v>
      </c>
      <c r="C24" s="77" t="s">
        <v>653</v>
      </c>
      <c r="D24" s="78" t="s">
        <v>450</v>
      </c>
      <c r="E24" s="41">
        <v>10.0</v>
      </c>
      <c r="F24" s="42" t="s">
        <v>8</v>
      </c>
    </row>
    <row r="25" ht="22.5" customHeight="1">
      <c r="A25" s="45">
        <v>24.0</v>
      </c>
      <c r="B25" s="46">
        <v>46.0</v>
      </c>
      <c r="C25" s="47" t="s">
        <v>654</v>
      </c>
      <c r="D25" s="62" t="s">
        <v>380</v>
      </c>
      <c r="E25" s="49">
        <v>10.0</v>
      </c>
      <c r="F25" s="50" t="s">
        <v>8</v>
      </c>
    </row>
    <row r="26" ht="22.5" customHeight="1">
      <c r="A26" s="37">
        <v>25.0</v>
      </c>
      <c r="B26" s="38">
        <v>76.0</v>
      </c>
      <c r="C26" s="39" t="s">
        <v>655</v>
      </c>
      <c r="D26" s="52" t="s">
        <v>450</v>
      </c>
      <c r="E26" s="41">
        <v>10.0</v>
      </c>
      <c r="F26" s="42" t="s">
        <v>8</v>
      </c>
    </row>
    <row r="27" ht="22.5" customHeight="1">
      <c r="A27" s="45">
        <v>26.0</v>
      </c>
      <c r="B27" s="46">
        <v>121.0</v>
      </c>
      <c r="C27" s="47" t="s">
        <v>656</v>
      </c>
      <c r="D27" s="56" t="s">
        <v>450</v>
      </c>
      <c r="E27" s="49">
        <v>10.0</v>
      </c>
      <c r="F27" s="50" t="s">
        <v>8</v>
      </c>
    </row>
    <row r="28" ht="22.5" customHeight="1">
      <c r="A28" s="37">
        <v>27.0</v>
      </c>
      <c r="B28" s="38">
        <v>81.0</v>
      </c>
      <c r="C28" s="80" t="s">
        <v>657</v>
      </c>
      <c r="D28" s="52" t="s">
        <v>450</v>
      </c>
      <c r="E28" s="41">
        <v>9.0</v>
      </c>
      <c r="F28" s="42" t="s">
        <v>8</v>
      </c>
    </row>
    <row r="29" ht="22.5" customHeight="1">
      <c r="A29" s="45">
        <v>28.0</v>
      </c>
      <c r="B29" s="46">
        <v>88.0</v>
      </c>
      <c r="C29" s="47" t="s">
        <v>658</v>
      </c>
      <c r="D29" s="48" t="s">
        <v>331</v>
      </c>
      <c r="E29" s="49">
        <v>9.0</v>
      </c>
      <c r="F29" s="50" t="s">
        <v>8</v>
      </c>
    </row>
    <row r="30" ht="22.5" customHeight="1">
      <c r="A30" s="37">
        <v>29.0</v>
      </c>
      <c r="B30" s="38">
        <v>89.0</v>
      </c>
      <c r="C30" s="39" t="s">
        <v>659</v>
      </c>
      <c r="D30" s="40" t="s">
        <v>195</v>
      </c>
      <c r="E30" s="41">
        <v>9.0</v>
      </c>
      <c r="F30" s="42" t="s">
        <v>8</v>
      </c>
    </row>
    <row r="31" ht="22.5" customHeight="1">
      <c r="A31" s="45">
        <v>30.0</v>
      </c>
      <c r="B31" s="46">
        <v>110.0</v>
      </c>
      <c r="C31" s="47" t="s">
        <v>660</v>
      </c>
      <c r="D31" s="62" t="s">
        <v>380</v>
      </c>
      <c r="E31" s="49">
        <v>9.0</v>
      </c>
      <c r="F31" s="50" t="s">
        <v>8</v>
      </c>
    </row>
    <row r="32" ht="22.5" customHeight="1">
      <c r="A32" s="37">
        <v>31.0</v>
      </c>
      <c r="B32" s="63">
        <v>96.0</v>
      </c>
      <c r="C32" s="64" t="s">
        <v>661</v>
      </c>
      <c r="D32" s="65" t="s">
        <v>195</v>
      </c>
      <c r="E32" s="41">
        <v>9.0</v>
      </c>
      <c r="F32" s="42" t="s">
        <v>8</v>
      </c>
    </row>
    <row r="33" ht="22.5" customHeight="1">
      <c r="A33" s="45">
        <v>32.0</v>
      </c>
      <c r="B33" s="46">
        <v>90.0</v>
      </c>
      <c r="C33" s="81" t="s">
        <v>663</v>
      </c>
      <c r="D33" s="60" t="s">
        <v>195</v>
      </c>
      <c r="E33" s="49">
        <v>9.0</v>
      </c>
      <c r="F33" s="50" t="s">
        <v>8</v>
      </c>
    </row>
    <row r="34" ht="22.5" customHeight="1">
      <c r="A34" s="37">
        <v>33.0</v>
      </c>
      <c r="B34" s="38">
        <v>98.0</v>
      </c>
      <c r="C34" s="39" t="s">
        <v>664</v>
      </c>
      <c r="D34" s="61" t="s">
        <v>331</v>
      </c>
      <c r="E34" s="41">
        <v>9.0</v>
      </c>
      <c r="F34" s="42" t="s">
        <v>8</v>
      </c>
    </row>
    <row r="35" ht="22.5" customHeight="1">
      <c r="A35" s="45">
        <v>34.0</v>
      </c>
      <c r="B35" s="76">
        <v>401.0</v>
      </c>
      <c r="C35" s="77" t="s">
        <v>665</v>
      </c>
      <c r="D35" s="78" t="s">
        <v>450</v>
      </c>
      <c r="E35" s="49">
        <v>9.0</v>
      </c>
      <c r="F35" s="50" t="s">
        <v>8</v>
      </c>
    </row>
    <row r="36" ht="22.5" customHeight="1">
      <c r="A36" s="37">
        <v>35.0</v>
      </c>
      <c r="B36" s="38">
        <v>123.0</v>
      </c>
      <c r="C36" s="39" t="s">
        <v>666</v>
      </c>
      <c r="D36" s="40" t="s">
        <v>195</v>
      </c>
      <c r="E36" s="41">
        <v>9.0</v>
      </c>
      <c r="F36" s="42" t="s">
        <v>8</v>
      </c>
    </row>
    <row r="37" ht="22.5" customHeight="1">
      <c r="A37" s="45">
        <v>36.0</v>
      </c>
      <c r="B37" s="46">
        <v>101.0</v>
      </c>
      <c r="C37" s="47" t="s">
        <v>667</v>
      </c>
      <c r="D37" s="60" t="s">
        <v>195</v>
      </c>
      <c r="E37" s="49">
        <v>9.0</v>
      </c>
      <c r="F37" s="50" t="s">
        <v>8</v>
      </c>
    </row>
    <row r="38" ht="22.5" customHeight="1">
      <c r="A38" s="37">
        <v>37.0</v>
      </c>
      <c r="B38" s="38">
        <v>115.0</v>
      </c>
      <c r="C38" s="39" t="s">
        <v>668</v>
      </c>
      <c r="D38" s="51" t="s">
        <v>380</v>
      </c>
      <c r="E38" s="41">
        <v>9.0</v>
      </c>
      <c r="F38" s="42" t="s">
        <v>8</v>
      </c>
    </row>
    <row r="39" ht="22.5" customHeight="1">
      <c r="A39" s="45">
        <v>38.0</v>
      </c>
      <c r="B39" s="46">
        <v>106.0</v>
      </c>
      <c r="C39" s="47" t="s">
        <v>669</v>
      </c>
      <c r="D39" s="56" t="s">
        <v>450</v>
      </c>
      <c r="E39" s="49">
        <v>9.0</v>
      </c>
      <c r="F39" s="50" t="s">
        <v>8</v>
      </c>
    </row>
    <row r="40" ht="22.5" customHeight="1">
      <c r="A40" s="37">
        <v>39.0</v>
      </c>
      <c r="B40" s="38">
        <v>348.0</v>
      </c>
      <c r="C40" s="39" t="s">
        <v>670</v>
      </c>
      <c r="D40" s="51" t="s">
        <v>380</v>
      </c>
      <c r="E40" s="41">
        <v>9.0</v>
      </c>
      <c r="F40" s="42" t="s">
        <v>8</v>
      </c>
    </row>
    <row r="41" ht="22.5" customHeight="1">
      <c r="A41" s="45">
        <v>40.0</v>
      </c>
      <c r="B41" s="57">
        <v>403.0</v>
      </c>
      <c r="C41" s="58" t="s">
        <v>677</v>
      </c>
      <c r="D41" s="59" t="s">
        <v>331</v>
      </c>
      <c r="E41" s="49">
        <v>9.0</v>
      </c>
      <c r="F41" s="50" t="s">
        <v>8</v>
      </c>
    </row>
    <row r="42" ht="22.5" customHeight="1">
      <c r="A42" s="37">
        <v>41.0</v>
      </c>
      <c r="B42" s="38">
        <v>105.0</v>
      </c>
      <c r="C42" s="39" t="s">
        <v>679</v>
      </c>
      <c r="D42" s="51" t="s">
        <v>380</v>
      </c>
      <c r="E42" s="41">
        <v>9.0</v>
      </c>
      <c r="F42" s="42" t="s">
        <v>8</v>
      </c>
    </row>
    <row r="43" ht="22.5" customHeight="1">
      <c r="A43" s="45">
        <v>42.0</v>
      </c>
      <c r="B43" s="46">
        <v>116.0</v>
      </c>
      <c r="C43" s="47" t="s">
        <v>680</v>
      </c>
      <c r="D43" s="48" t="s">
        <v>331</v>
      </c>
      <c r="E43" s="49">
        <v>9.0</v>
      </c>
      <c r="F43" s="50" t="s">
        <v>8</v>
      </c>
    </row>
    <row r="44" ht="22.5" customHeight="1">
      <c r="A44" s="37">
        <v>43.0</v>
      </c>
      <c r="B44" s="38">
        <v>70.0</v>
      </c>
      <c r="C44" s="39" t="s">
        <v>681</v>
      </c>
      <c r="D44" s="61" t="s">
        <v>331</v>
      </c>
      <c r="E44" s="41">
        <v>9.0</v>
      </c>
      <c r="F44" s="42" t="s">
        <v>8</v>
      </c>
    </row>
    <row r="45" ht="22.5" customHeight="1">
      <c r="A45" s="45">
        <v>44.0</v>
      </c>
      <c r="B45" s="46">
        <v>402.0</v>
      </c>
      <c r="C45" s="47" t="s">
        <v>682</v>
      </c>
      <c r="D45" s="60" t="s">
        <v>195</v>
      </c>
      <c r="E45" s="49">
        <v>9.0</v>
      </c>
      <c r="F45" s="50" t="s">
        <v>8</v>
      </c>
    </row>
    <row r="46" ht="22.5" customHeight="1">
      <c r="A46" s="37">
        <v>45.0</v>
      </c>
      <c r="B46" s="38">
        <v>103.0</v>
      </c>
      <c r="C46" s="39" t="s">
        <v>686</v>
      </c>
      <c r="D46" s="52" t="s">
        <v>450</v>
      </c>
      <c r="E46" s="41">
        <v>9.0</v>
      </c>
      <c r="F46" s="42" t="s">
        <v>8</v>
      </c>
    </row>
    <row r="47" ht="22.5" customHeight="1">
      <c r="A47" s="45">
        <v>46.0</v>
      </c>
      <c r="B47" s="46">
        <v>397.0</v>
      </c>
      <c r="C47" s="47" t="s">
        <v>691</v>
      </c>
      <c r="D47" s="60" t="s">
        <v>195</v>
      </c>
      <c r="E47" s="49">
        <v>9.0</v>
      </c>
      <c r="F47" s="50" t="s">
        <v>8</v>
      </c>
    </row>
    <row r="48" ht="22.5" customHeight="1">
      <c r="A48" s="37">
        <v>47.0</v>
      </c>
      <c r="B48" s="38">
        <v>92.0</v>
      </c>
      <c r="C48" s="39" t="s">
        <v>692</v>
      </c>
      <c r="D48" s="52" t="s">
        <v>450</v>
      </c>
      <c r="E48" s="41">
        <v>9.0</v>
      </c>
      <c r="F48" s="42" t="s">
        <v>8</v>
      </c>
    </row>
    <row r="49" ht="22.5" customHeight="1">
      <c r="A49" s="45">
        <v>48.0</v>
      </c>
      <c r="B49" s="66">
        <v>63.0</v>
      </c>
      <c r="C49" s="67" t="s">
        <v>693</v>
      </c>
      <c r="D49" s="68" t="s">
        <v>610</v>
      </c>
      <c r="E49" s="49">
        <v>9.0</v>
      </c>
      <c r="F49" s="50" t="s">
        <v>610</v>
      </c>
    </row>
    <row r="50" ht="22.5" customHeight="1">
      <c r="A50" s="37">
        <v>49.0</v>
      </c>
      <c r="B50" s="38">
        <v>399.0</v>
      </c>
      <c r="C50" s="39" t="s">
        <v>694</v>
      </c>
      <c r="D50" s="51" t="s">
        <v>380</v>
      </c>
      <c r="E50" s="41">
        <v>9.0</v>
      </c>
      <c r="F50" s="42" t="s">
        <v>8</v>
      </c>
    </row>
    <row r="51" ht="22.5" customHeight="1">
      <c r="A51" s="45">
        <v>50.0</v>
      </c>
      <c r="B51" s="46">
        <v>87.0</v>
      </c>
      <c r="C51" s="47" t="s">
        <v>696</v>
      </c>
      <c r="D51" s="48" t="s">
        <v>331</v>
      </c>
      <c r="E51" s="49">
        <v>9.0</v>
      </c>
      <c r="F51" s="50" t="s">
        <v>8</v>
      </c>
    </row>
    <row r="52" ht="22.5" customHeight="1">
      <c r="A52" s="37">
        <v>51.0</v>
      </c>
      <c r="B52" s="38">
        <v>94.0</v>
      </c>
      <c r="C52" s="39" t="s">
        <v>699</v>
      </c>
      <c r="D52" s="52" t="s">
        <v>450</v>
      </c>
      <c r="E52" s="41">
        <v>9.0</v>
      </c>
      <c r="F52" s="42" t="s">
        <v>8</v>
      </c>
    </row>
    <row r="53" ht="22.5" customHeight="1">
      <c r="A53" s="45">
        <v>52.0</v>
      </c>
      <c r="B53" s="46">
        <v>95.0</v>
      </c>
      <c r="C53" s="81" t="s">
        <v>701</v>
      </c>
      <c r="D53" s="48" t="s">
        <v>331</v>
      </c>
      <c r="E53" s="49">
        <v>9.0</v>
      </c>
      <c r="F53" s="50" t="s">
        <v>8</v>
      </c>
    </row>
    <row r="54" ht="22.5" customHeight="1">
      <c r="A54" s="37">
        <v>53.0</v>
      </c>
      <c r="B54" s="53">
        <v>398.0</v>
      </c>
      <c r="C54" s="88" t="s">
        <v>702</v>
      </c>
      <c r="D54" s="55" t="s">
        <v>380</v>
      </c>
      <c r="E54" s="41">
        <v>9.0</v>
      </c>
      <c r="F54" s="42" t="s">
        <v>8</v>
      </c>
    </row>
    <row r="55" ht="22.5" customHeight="1">
      <c r="A55" s="45">
        <v>54.0</v>
      </c>
      <c r="B55" s="46">
        <v>400.0</v>
      </c>
      <c r="C55" s="81" t="s">
        <v>704</v>
      </c>
      <c r="D55" s="56" t="s">
        <v>450</v>
      </c>
      <c r="E55" s="49">
        <v>9.0</v>
      </c>
      <c r="F55" s="50" t="s">
        <v>8</v>
      </c>
    </row>
    <row r="56" ht="22.5" customHeight="1">
      <c r="A56" s="37">
        <v>55.0</v>
      </c>
      <c r="B56" s="38">
        <v>404.0</v>
      </c>
      <c r="C56" s="80" t="s">
        <v>706</v>
      </c>
      <c r="D56" s="51" t="s">
        <v>380</v>
      </c>
      <c r="E56" s="41">
        <v>9.0</v>
      </c>
      <c r="F56" s="42" t="s">
        <v>8</v>
      </c>
    </row>
    <row r="57" ht="22.5" customHeight="1">
      <c r="A57" s="45">
        <v>56.0</v>
      </c>
      <c r="B57" s="46">
        <v>138.0</v>
      </c>
      <c r="C57" s="47" t="s">
        <v>707</v>
      </c>
      <c r="D57" s="56" t="s">
        <v>450</v>
      </c>
      <c r="E57" s="49">
        <v>8.0</v>
      </c>
      <c r="F57" s="50" t="s">
        <v>8</v>
      </c>
    </row>
    <row r="58" ht="22.5" customHeight="1">
      <c r="A58" s="37">
        <v>57.0</v>
      </c>
      <c r="B58" s="38">
        <v>148.0</v>
      </c>
      <c r="C58" s="39" t="s">
        <v>710</v>
      </c>
      <c r="D58" s="61" t="s">
        <v>331</v>
      </c>
      <c r="E58" s="41">
        <v>8.0</v>
      </c>
      <c r="F58" s="42" t="s">
        <v>8</v>
      </c>
    </row>
    <row r="59" ht="22.5" customHeight="1">
      <c r="A59" s="45">
        <v>58.0</v>
      </c>
      <c r="B59" s="46">
        <v>128.0</v>
      </c>
      <c r="C59" s="47" t="s">
        <v>711</v>
      </c>
      <c r="D59" s="60" t="s">
        <v>195</v>
      </c>
      <c r="E59" s="49">
        <v>8.0</v>
      </c>
      <c r="F59" s="50" t="s">
        <v>8</v>
      </c>
    </row>
    <row r="60" ht="22.5" customHeight="1">
      <c r="A60" s="37">
        <v>59.0</v>
      </c>
      <c r="B60" s="38">
        <v>143.0</v>
      </c>
      <c r="C60" s="39" t="s">
        <v>712</v>
      </c>
      <c r="D60" s="51" t="s">
        <v>380</v>
      </c>
      <c r="E60" s="41">
        <v>8.0</v>
      </c>
      <c r="F60" s="42" t="s">
        <v>8</v>
      </c>
    </row>
    <row r="61" ht="22.5" customHeight="1">
      <c r="A61" s="45">
        <v>60.0</v>
      </c>
      <c r="B61" s="46">
        <v>150.0</v>
      </c>
      <c r="C61" s="47" t="s">
        <v>714</v>
      </c>
      <c r="D61" s="60" t="s">
        <v>195</v>
      </c>
      <c r="E61" s="49">
        <v>8.0</v>
      </c>
      <c r="F61" s="50" t="s">
        <v>8</v>
      </c>
    </row>
    <row r="62" ht="22.5" customHeight="1">
      <c r="A62" s="37">
        <v>61.0</v>
      </c>
      <c r="B62" s="38">
        <v>126.0</v>
      </c>
      <c r="C62" s="39" t="s">
        <v>715</v>
      </c>
      <c r="D62" s="51" t="s">
        <v>380</v>
      </c>
      <c r="E62" s="41">
        <v>8.0</v>
      </c>
      <c r="F62" s="42" t="s">
        <v>8</v>
      </c>
    </row>
    <row r="63" ht="22.5" customHeight="1">
      <c r="A63" s="45">
        <v>62.0</v>
      </c>
      <c r="B63" s="46">
        <v>133.0</v>
      </c>
      <c r="C63" s="47" t="s">
        <v>717</v>
      </c>
      <c r="D63" s="62" t="s">
        <v>380</v>
      </c>
      <c r="E63" s="49">
        <v>8.0</v>
      </c>
      <c r="F63" s="50" t="s">
        <v>8</v>
      </c>
    </row>
    <row r="64" ht="22.5" customHeight="1">
      <c r="A64" s="37">
        <v>63.0</v>
      </c>
      <c r="B64" s="38">
        <v>157.0</v>
      </c>
      <c r="C64" s="39" t="s">
        <v>718</v>
      </c>
      <c r="D64" s="40" t="s">
        <v>195</v>
      </c>
      <c r="E64" s="41">
        <v>8.0</v>
      </c>
      <c r="F64" s="42" t="s">
        <v>8</v>
      </c>
    </row>
    <row r="65" ht="22.5" customHeight="1">
      <c r="A65" s="45">
        <v>64.0</v>
      </c>
      <c r="B65" s="46">
        <v>145.0</v>
      </c>
      <c r="C65" s="47" t="s">
        <v>719</v>
      </c>
      <c r="D65" s="48" t="s">
        <v>331</v>
      </c>
      <c r="E65" s="49">
        <v>8.0</v>
      </c>
      <c r="F65" s="50" t="s">
        <v>8</v>
      </c>
    </row>
    <row r="66" ht="22.5" customHeight="1">
      <c r="A66" s="37">
        <v>65.0</v>
      </c>
      <c r="B66" s="38">
        <v>153.0</v>
      </c>
      <c r="C66" s="39" t="s">
        <v>720</v>
      </c>
      <c r="D66" s="51" t="s">
        <v>380</v>
      </c>
      <c r="E66" s="41">
        <v>8.0</v>
      </c>
      <c r="F66" s="42" t="s">
        <v>8</v>
      </c>
    </row>
    <row r="67" ht="22.5" customHeight="1">
      <c r="A67" s="45">
        <v>66.0</v>
      </c>
      <c r="B67" s="46">
        <v>130.0</v>
      </c>
      <c r="C67" s="47" t="s">
        <v>721</v>
      </c>
      <c r="D67" s="56" t="s">
        <v>450</v>
      </c>
      <c r="E67" s="49">
        <v>8.0</v>
      </c>
      <c r="F67" s="50" t="s">
        <v>8</v>
      </c>
    </row>
    <row r="68" ht="22.5" customHeight="1">
      <c r="A68" s="37">
        <v>67.0</v>
      </c>
      <c r="B68" s="38">
        <v>136.0</v>
      </c>
      <c r="C68" s="39" t="s">
        <v>722</v>
      </c>
      <c r="D68" s="52" t="s">
        <v>450</v>
      </c>
      <c r="E68" s="41">
        <v>8.0</v>
      </c>
      <c r="F68" s="42" t="s">
        <v>8</v>
      </c>
    </row>
    <row r="69" ht="22.5" customHeight="1">
      <c r="A69" s="45">
        <v>68.0</v>
      </c>
      <c r="B69" s="46">
        <v>131.0</v>
      </c>
      <c r="C69" s="47" t="s">
        <v>723</v>
      </c>
      <c r="D69" s="56" t="s">
        <v>450</v>
      </c>
      <c r="E69" s="49">
        <v>8.0</v>
      </c>
      <c r="F69" s="50" t="s">
        <v>8</v>
      </c>
    </row>
    <row r="70" ht="22.5" customHeight="1">
      <c r="A70" s="37">
        <v>69.0</v>
      </c>
      <c r="B70" s="38">
        <v>152.0</v>
      </c>
      <c r="C70" s="39" t="s">
        <v>724</v>
      </c>
      <c r="D70" s="61" t="s">
        <v>331</v>
      </c>
      <c r="E70" s="41">
        <v>8.0</v>
      </c>
      <c r="F70" s="42" t="s">
        <v>8</v>
      </c>
    </row>
    <row r="71" ht="22.5" customHeight="1">
      <c r="A71" s="45">
        <v>70.0</v>
      </c>
      <c r="B71" s="46">
        <v>135.0</v>
      </c>
      <c r="C71" s="47" t="s">
        <v>725</v>
      </c>
      <c r="D71" s="60" t="s">
        <v>195</v>
      </c>
      <c r="E71" s="49">
        <v>8.0</v>
      </c>
      <c r="F71" s="50" t="s">
        <v>8</v>
      </c>
    </row>
    <row r="72" ht="22.5" customHeight="1">
      <c r="A72" s="37">
        <v>71.0</v>
      </c>
      <c r="B72" s="38">
        <v>125.0</v>
      </c>
      <c r="C72" s="39" t="s">
        <v>726</v>
      </c>
      <c r="D72" s="51" t="s">
        <v>380</v>
      </c>
      <c r="E72" s="41">
        <v>8.0</v>
      </c>
      <c r="F72" s="42" t="s">
        <v>8</v>
      </c>
    </row>
    <row r="73" ht="22.5" customHeight="1">
      <c r="A73" s="45">
        <v>72.0</v>
      </c>
      <c r="B73" s="46">
        <v>132.0</v>
      </c>
      <c r="C73" s="47" t="s">
        <v>727</v>
      </c>
      <c r="D73" s="62" t="s">
        <v>380</v>
      </c>
      <c r="E73" s="49">
        <v>8.0</v>
      </c>
      <c r="F73" s="50" t="s">
        <v>8</v>
      </c>
    </row>
    <row r="74" ht="22.5" customHeight="1">
      <c r="A74" s="37">
        <v>73.0</v>
      </c>
      <c r="B74" s="38">
        <v>142.0</v>
      </c>
      <c r="C74" s="39" t="s">
        <v>728</v>
      </c>
      <c r="D74" s="52" t="s">
        <v>450</v>
      </c>
      <c r="E74" s="41">
        <v>8.0</v>
      </c>
      <c r="F74" s="42" t="s">
        <v>8</v>
      </c>
    </row>
    <row r="75" ht="22.5" customHeight="1">
      <c r="A75" s="45">
        <v>74.0</v>
      </c>
      <c r="B75" s="46">
        <v>151.0</v>
      </c>
      <c r="C75" s="47" t="s">
        <v>729</v>
      </c>
      <c r="D75" s="60" t="s">
        <v>195</v>
      </c>
      <c r="E75" s="49">
        <v>8.0</v>
      </c>
      <c r="F75" s="50" t="s">
        <v>8</v>
      </c>
    </row>
    <row r="76" ht="22.5" customHeight="1">
      <c r="A76" s="37">
        <v>75.0</v>
      </c>
      <c r="B76" s="38">
        <v>149.0</v>
      </c>
      <c r="C76" s="39" t="s">
        <v>730</v>
      </c>
      <c r="D76" s="61" t="s">
        <v>331</v>
      </c>
      <c r="E76" s="41">
        <v>8.0</v>
      </c>
      <c r="F76" s="42" t="s">
        <v>8</v>
      </c>
    </row>
    <row r="77" ht="22.5" customHeight="1">
      <c r="A77" s="45">
        <v>76.0</v>
      </c>
      <c r="B77" s="46">
        <v>163.0</v>
      </c>
      <c r="C77" s="47" t="s">
        <v>731</v>
      </c>
      <c r="D77" s="48" t="s">
        <v>331</v>
      </c>
      <c r="E77" s="49">
        <v>8.0</v>
      </c>
      <c r="F77" s="50" t="s">
        <v>8</v>
      </c>
    </row>
    <row r="78" ht="22.5" customHeight="1">
      <c r="A78" s="37">
        <v>77.0</v>
      </c>
      <c r="B78" s="38">
        <v>114.0</v>
      </c>
      <c r="C78" s="39" t="s">
        <v>732</v>
      </c>
      <c r="D78" s="61" t="s">
        <v>331</v>
      </c>
      <c r="E78" s="41">
        <v>8.0</v>
      </c>
      <c r="F78" s="42" t="s">
        <v>8</v>
      </c>
    </row>
    <row r="79" ht="22.5" customHeight="1">
      <c r="A79" s="45">
        <v>78.0</v>
      </c>
      <c r="B79" s="46">
        <v>452.0</v>
      </c>
      <c r="C79" s="47" t="s">
        <v>733</v>
      </c>
      <c r="D79" s="48" t="s">
        <v>331</v>
      </c>
      <c r="E79" s="49">
        <v>8.0</v>
      </c>
      <c r="F79" s="50" t="s">
        <v>8</v>
      </c>
    </row>
    <row r="80" ht="22.5" customHeight="1">
      <c r="A80" s="37">
        <v>79.0</v>
      </c>
      <c r="B80" s="38">
        <v>453.0</v>
      </c>
      <c r="C80" s="39" t="s">
        <v>734</v>
      </c>
      <c r="D80" s="51" t="s">
        <v>380</v>
      </c>
      <c r="E80" s="41">
        <v>8.0</v>
      </c>
      <c r="F80" s="42" t="s">
        <v>8</v>
      </c>
    </row>
    <row r="81" ht="22.5" customHeight="1">
      <c r="A81" s="45">
        <v>80.0</v>
      </c>
      <c r="B81" s="66">
        <v>454.0</v>
      </c>
      <c r="C81" s="67" t="s">
        <v>735</v>
      </c>
      <c r="D81" s="68" t="s">
        <v>610</v>
      </c>
      <c r="E81" s="49">
        <v>8.0</v>
      </c>
      <c r="F81" s="50" t="s">
        <v>610</v>
      </c>
    </row>
    <row r="82" ht="22.5" customHeight="1">
      <c r="A82" s="37">
        <v>81.0</v>
      </c>
      <c r="B82" s="38">
        <v>455.0</v>
      </c>
      <c r="C82" s="39" t="s">
        <v>736</v>
      </c>
      <c r="D82" s="40" t="s">
        <v>195</v>
      </c>
      <c r="E82" s="41">
        <v>8.0</v>
      </c>
      <c r="F82" s="42" t="s">
        <v>8</v>
      </c>
    </row>
    <row r="83" ht="22.5" customHeight="1">
      <c r="A83" s="45">
        <v>82.0</v>
      </c>
      <c r="B83" s="46">
        <v>456.0</v>
      </c>
      <c r="C83" s="47" t="s">
        <v>737</v>
      </c>
      <c r="D83" s="60" t="s">
        <v>195</v>
      </c>
      <c r="E83" s="49">
        <v>8.0</v>
      </c>
      <c r="F83" s="50" t="s">
        <v>8</v>
      </c>
    </row>
    <row r="84" ht="22.5" customHeight="1">
      <c r="A84" s="37">
        <v>83.0</v>
      </c>
      <c r="B84" s="38">
        <v>457.0</v>
      </c>
      <c r="C84" s="39" t="s">
        <v>738</v>
      </c>
      <c r="D84" s="52" t="s">
        <v>450</v>
      </c>
      <c r="E84" s="41">
        <v>8.0</v>
      </c>
      <c r="F84" s="42" t="s">
        <v>8</v>
      </c>
    </row>
    <row r="85" ht="22.5" customHeight="1">
      <c r="A85" s="45">
        <v>84.0</v>
      </c>
      <c r="B85" s="46">
        <v>137.0</v>
      </c>
      <c r="C85" s="47" t="s">
        <v>739</v>
      </c>
      <c r="D85" s="48" t="s">
        <v>331</v>
      </c>
      <c r="E85" s="49">
        <v>7.0</v>
      </c>
      <c r="F85" s="50" t="s">
        <v>7</v>
      </c>
    </row>
    <row r="86" ht="22.5" customHeight="1">
      <c r="A86" s="37">
        <v>85.0</v>
      </c>
      <c r="B86" s="38">
        <v>187.0</v>
      </c>
      <c r="C86" s="39" t="s">
        <v>740</v>
      </c>
      <c r="D86" s="40" t="s">
        <v>195</v>
      </c>
      <c r="E86" s="41">
        <v>7.0</v>
      </c>
      <c r="F86" s="42" t="s">
        <v>7</v>
      </c>
    </row>
    <row r="87" ht="22.5" customHeight="1">
      <c r="A87" s="45">
        <v>86.0</v>
      </c>
      <c r="B87" s="46">
        <v>169.0</v>
      </c>
      <c r="C87" s="47" t="s">
        <v>741</v>
      </c>
      <c r="D87" s="62" t="s">
        <v>380</v>
      </c>
      <c r="E87" s="49">
        <v>7.0</v>
      </c>
      <c r="F87" s="50" t="s">
        <v>7</v>
      </c>
    </row>
    <row r="88" ht="22.5" customHeight="1">
      <c r="A88" s="37">
        <v>87.0</v>
      </c>
      <c r="B88" s="38">
        <v>168.0</v>
      </c>
      <c r="C88" s="39" t="s">
        <v>742</v>
      </c>
      <c r="D88" s="52" t="s">
        <v>450</v>
      </c>
      <c r="E88" s="41">
        <v>7.0</v>
      </c>
      <c r="F88" s="42" t="s">
        <v>7</v>
      </c>
    </row>
    <row r="89" ht="22.5" customHeight="1">
      <c r="A89" s="45">
        <v>88.0</v>
      </c>
      <c r="B89" s="46">
        <v>190.0</v>
      </c>
      <c r="C89" s="47" t="s">
        <v>743</v>
      </c>
      <c r="D89" s="60" t="s">
        <v>195</v>
      </c>
      <c r="E89" s="49">
        <v>7.0</v>
      </c>
      <c r="F89" s="50" t="s">
        <v>7</v>
      </c>
    </row>
    <row r="90" ht="22.5" customHeight="1">
      <c r="A90" s="37">
        <v>89.0</v>
      </c>
      <c r="B90" s="38">
        <v>196.0</v>
      </c>
      <c r="C90" s="39" t="s">
        <v>744</v>
      </c>
      <c r="D90" s="51" t="s">
        <v>380</v>
      </c>
      <c r="E90" s="41">
        <v>7.0</v>
      </c>
      <c r="F90" s="42" t="s">
        <v>7</v>
      </c>
    </row>
    <row r="91" ht="22.5" customHeight="1">
      <c r="A91" s="45">
        <v>90.0</v>
      </c>
      <c r="B91" s="46">
        <v>202.0</v>
      </c>
      <c r="C91" s="47" t="s">
        <v>745</v>
      </c>
      <c r="D91" s="56" t="s">
        <v>450</v>
      </c>
      <c r="E91" s="49">
        <v>7.0</v>
      </c>
      <c r="F91" s="50" t="s">
        <v>7</v>
      </c>
    </row>
    <row r="92" ht="22.5" customHeight="1">
      <c r="A92" s="37">
        <v>91.0</v>
      </c>
      <c r="B92" s="38">
        <v>174.0</v>
      </c>
      <c r="C92" s="39" t="s">
        <v>746</v>
      </c>
      <c r="D92" s="52" t="s">
        <v>450</v>
      </c>
      <c r="E92" s="41">
        <v>7.0</v>
      </c>
      <c r="F92" s="42" t="s">
        <v>7</v>
      </c>
    </row>
    <row r="93" ht="22.5" customHeight="1">
      <c r="A93" s="45">
        <v>92.0</v>
      </c>
      <c r="B93" s="46">
        <v>159.0</v>
      </c>
      <c r="C93" s="47" t="s">
        <v>747</v>
      </c>
      <c r="D93" s="62" t="s">
        <v>380</v>
      </c>
      <c r="E93" s="49">
        <v>7.0</v>
      </c>
      <c r="F93" s="50" t="s">
        <v>7</v>
      </c>
    </row>
    <row r="94" ht="22.5" customHeight="1">
      <c r="A94" s="37">
        <v>93.0</v>
      </c>
      <c r="B94" s="38">
        <v>193.0</v>
      </c>
      <c r="C94" s="39" t="s">
        <v>748</v>
      </c>
      <c r="D94" s="51" t="s">
        <v>380</v>
      </c>
      <c r="E94" s="41">
        <v>7.0</v>
      </c>
      <c r="F94" s="42" t="s">
        <v>7</v>
      </c>
    </row>
    <row r="95" ht="22.5" customHeight="1">
      <c r="A95" s="45">
        <v>94.0</v>
      </c>
      <c r="B95" s="46">
        <v>203.0</v>
      </c>
      <c r="C95" s="47" t="s">
        <v>749</v>
      </c>
      <c r="D95" s="48" t="s">
        <v>331</v>
      </c>
      <c r="E95" s="49">
        <v>7.0</v>
      </c>
      <c r="F95" s="50" t="s">
        <v>7</v>
      </c>
    </row>
    <row r="96" ht="22.5" customHeight="1">
      <c r="A96" s="37">
        <v>95.0</v>
      </c>
      <c r="B96" s="57">
        <v>184.0</v>
      </c>
      <c r="C96" s="58" t="s">
        <v>750</v>
      </c>
      <c r="D96" s="59" t="s">
        <v>331</v>
      </c>
      <c r="E96" s="41">
        <v>7.0</v>
      </c>
      <c r="F96" s="42" t="s">
        <v>7</v>
      </c>
    </row>
    <row r="97" ht="22.5" customHeight="1">
      <c r="A97" s="45">
        <v>96.0</v>
      </c>
      <c r="B97" s="53">
        <v>176.0</v>
      </c>
      <c r="C97" s="54" t="s">
        <v>751</v>
      </c>
      <c r="D97" s="55" t="s">
        <v>380</v>
      </c>
      <c r="E97" s="49">
        <v>7.0</v>
      </c>
      <c r="F97" s="50" t="s">
        <v>7</v>
      </c>
    </row>
    <row r="98" ht="22.5" customHeight="1">
      <c r="A98" s="37">
        <v>97.0</v>
      </c>
      <c r="B98" s="38">
        <v>183.0</v>
      </c>
      <c r="C98" s="39" t="s">
        <v>752</v>
      </c>
      <c r="D98" s="61" t="s">
        <v>331</v>
      </c>
      <c r="E98" s="41">
        <v>7.0</v>
      </c>
      <c r="F98" s="42" t="s">
        <v>7</v>
      </c>
    </row>
    <row r="99" ht="22.5" customHeight="1">
      <c r="A99" s="45">
        <v>98.0</v>
      </c>
      <c r="B99" s="46">
        <v>194.0</v>
      </c>
      <c r="C99" s="47" t="s">
        <v>753</v>
      </c>
      <c r="D99" s="56" t="s">
        <v>450</v>
      </c>
      <c r="E99" s="49">
        <v>7.0</v>
      </c>
      <c r="F99" s="50" t="s">
        <v>7</v>
      </c>
    </row>
    <row r="100" ht="22.5" customHeight="1">
      <c r="A100" s="37">
        <v>99.0</v>
      </c>
      <c r="B100" s="38">
        <v>177.0</v>
      </c>
      <c r="C100" s="39" t="s">
        <v>754</v>
      </c>
      <c r="D100" s="40" t="s">
        <v>195</v>
      </c>
      <c r="E100" s="41">
        <v>7.0</v>
      </c>
      <c r="F100" s="42" t="s">
        <v>7</v>
      </c>
    </row>
    <row r="101" ht="22.5" customHeight="1">
      <c r="A101" s="45">
        <v>100.0</v>
      </c>
      <c r="B101" s="76">
        <v>195.0</v>
      </c>
      <c r="C101" s="77" t="s">
        <v>755</v>
      </c>
      <c r="D101" s="78" t="s">
        <v>450</v>
      </c>
      <c r="E101" s="49">
        <v>7.0</v>
      </c>
      <c r="F101" s="50" t="s">
        <v>7</v>
      </c>
    </row>
    <row r="102" ht="22.5" customHeight="1">
      <c r="A102" s="37">
        <v>101.0</v>
      </c>
      <c r="B102" s="38">
        <v>175.0</v>
      </c>
      <c r="C102" s="39" t="s">
        <v>756</v>
      </c>
      <c r="D102" s="51" t="s">
        <v>380</v>
      </c>
      <c r="E102" s="41">
        <v>7.0</v>
      </c>
      <c r="F102" s="42" t="s">
        <v>7</v>
      </c>
    </row>
    <row r="103" ht="22.5" customHeight="1">
      <c r="A103" s="45">
        <v>102.0</v>
      </c>
      <c r="B103" s="46">
        <v>305.0</v>
      </c>
      <c r="C103" s="47" t="s">
        <v>757</v>
      </c>
      <c r="D103" s="60" t="s">
        <v>195</v>
      </c>
      <c r="E103" s="49">
        <v>7.0</v>
      </c>
      <c r="F103" s="50" t="s">
        <v>7</v>
      </c>
    </row>
    <row r="104" ht="22.5" customHeight="1">
      <c r="A104" s="37">
        <v>103.0</v>
      </c>
      <c r="B104" s="38">
        <v>440.0</v>
      </c>
      <c r="C104" s="39" t="s">
        <v>758</v>
      </c>
      <c r="D104" s="61" t="s">
        <v>331</v>
      </c>
      <c r="E104" s="41">
        <v>7.0</v>
      </c>
      <c r="F104" s="42" t="s">
        <v>7</v>
      </c>
    </row>
    <row r="105" ht="22.5" customHeight="1">
      <c r="A105" s="45">
        <v>104.0</v>
      </c>
      <c r="B105" s="46">
        <v>441.0</v>
      </c>
      <c r="C105" s="47" t="s">
        <v>759</v>
      </c>
      <c r="D105" s="56" t="s">
        <v>450</v>
      </c>
      <c r="E105" s="49">
        <v>7.0</v>
      </c>
      <c r="F105" s="50" t="s">
        <v>7</v>
      </c>
    </row>
    <row r="106" ht="22.5" customHeight="1">
      <c r="A106" s="37">
        <v>105.0</v>
      </c>
      <c r="B106" s="38">
        <v>442.0</v>
      </c>
      <c r="C106" s="39" t="s">
        <v>760</v>
      </c>
      <c r="D106" s="51" t="s">
        <v>380</v>
      </c>
      <c r="E106" s="41">
        <v>7.0</v>
      </c>
      <c r="F106" s="42" t="s">
        <v>7</v>
      </c>
    </row>
    <row r="107" ht="22.5" customHeight="1">
      <c r="A107" s="45">
        <v>106.0</v>
      </c>
      <c r="B107" s="46">
        <v>443.0</v>
      </c>
      <c r="C107" s="47" t="s">
        <v>761</v>
      </c>
      <c r="D107" s="60" t="s">
        <v>195</v>
      </c>
      <c r="E107" s="49">
        <v>7.0</v>
      </c>
      <c r="F107" s="50" t="s">
        <v>7</v>
      </c>
    </row>
    <row r="108" ht="22.5" customHeight="1">
      <c r="A108" s="37">
        <v>107.0</v>
      </c>
      <c r="B108" s="63">
        <v>444.0</v>
      </c>
      <c r="C108" s="64" t="s">
        <v>762</v>
      </c>
      <c r="D108" s="65" t="s">
        <v>195</v>
      </c>
      <c r="E108" s="41">
        <v>7.0</v>
      </c>
      <c r="F108" s="42" t="s">
        <v>7</v>
      </c>
    </row>
    <row r="109" ht="22.5" customHeight="1">
      <c r="A109" s="45">
        <v>108.0</v>
      </c>
      <c r="B109" s="46">
        <v>447.0</v>
      </c>
      <c r="C109" s="47" t="s">
        <v>763</v>
      </c>
      <c r="D109" s="48" t="s">
        <v>331</v>
      </c>
      <c r="E109" s="49">
        <v>7.0</v>
      </c>
      <c r="F109" s="50" t="s">
        <v>7</v>
      </c>
    </row>
    <row r="110" ht="22.5" customHeight="1">
      <c r="A110" s="37">
        <v>109.0</v>
      </c>
      <c r="B110" s="38">
        <v>448.0</v>
      </c>
      <c r="C110" s="39" t="s">
        <v>764</v>
      </c>
      <c r="D110" s="61" t="s">
        <v>331</v>
      </c>
      <c r="E110" s="41">
        <v>7.0</v>
      </c>
      <c r="F110" s="42" t="s">
        <v>7</v>
      </c>
    </row>
    <row r="111" ht="22.5" customHeight="1">
      <c r="A111" s="45">
        <v>110.0</v>
      </c>
      <c r="B111" s="46">
        <v>449.0</v>
      </c>
      <c r="C111" s="47" t="s">
        <v>765</v>
      </c>
      <c r="D111" s="60" t="s">
        <v>195</v>
      </c>
      <c r="E111" s="49">
        <v>7.0</v>
      </c>
      <c r="F111" s="50" t="s">
        <v>7</v>
      </c>
    </row>
    <row r="112" ht="22.5" customHeight="1">
      <c r="A112" s="37">
        <v>111.0</v>
      </c>
      <c r="B112" s="38">
        <v>450.0</v>
      </c>
      <c r="C112" s="39" t="s">
        <v>766</v>
      </c>
      <c r="D112" s="61" t="s">
        <v>331</v>
      </c>
      <c r="E112" s="41">
        <v>7.0</v>
      </c>
      <c r="F112" s="42" t="s">
        <v>7</v>
      </c>
    </row>
    <row r="113" ht="22.5" customHeight="1">
      <c r="A113" s="45">
        <v>112.0</v>
      </c>
      <c r="B113" s="46">
        <v>458.0</v>
      </c>
      <c r="C113" s="47" t="s">
        <v>767</v>
      </c>
      <c r="D113" s="56" t="s">
        <v>450</v>
      </c>
      <c r="E113" s="49">
        <v>7.0</v>
      </c>
      <c r="F113" s="50" t="s">
        <v>7</v>
      </c>
    </row>
    <row r="114" ht="22.5" customHeight="1">
      <c r="A114" s="37">
        <v>113.0</v>
      </c>
      <c r="B114" s="38">
        <v>206.0</v>
      </c>
      <c r="C114" s="39" t="s">
        <v>768</v>
      </c>
      <c r="D114" s="61" t="s">
        <v>331</v>
      </c>
      <c r="E114" s="41">
        <v>6.0</v>
      </c>
      <c r="F114" s="42" t="s">
        <v>7</v>
      </c>
    </row>
    <row r="115" ht="22.5" customHeight="1">
      <c r="A115" s="45">
        <v>114.0</v>
      </c>
      <c r="B115" s="46">
        <v>225.0</v>
      </c>
      <c r="C115" s="47" t="s">
        <v>769</v>
      </c>
      <c r="D115" s="48" t="s">
        <v>331</v>
      </c>
      <c r="E115" s="49">
        <v>6.0</v>
      </c>
      <c r="F115" s="50" t="s">
        <v>7</v>
      </c>
    </row>
    <row r="116" ht="22.5" customHeight="1">
      <c r="A116" s="37">
        <v>115.0</v>
      </c>
      <c r="B116" s="38">
        <v>223.0</v>
      </c>
      <c r="C116" s="39" t="s">
        <v>770</v>
      </c>
      <c r="D116" s="52" t="s">
        <v>450</v>
      </c>
      <c r="E116" s="41">
        <v>6.0</v>
      </c>
      <c r="F116" s="42" t="s">
        <v>7</v>
      </c>
    </row>
    <row r="117" ht="22.5" customHeight="1">
      <c r="A117" s="45">
        <v>116.0</v>
      </c>
      <c r="B117" s="46">
        <v>240.0</v>
      </c>
      <c r="C117" s="47" t="s">
        <v>771</v>
      </c>
      <c r="D117" s="60" t="s">
        <v>195</v>
      </c>
      <c r="E117" s="49">
        <v>6.0</v>
      </c>
      <c r="F117" s="50" t="s">
        <v>7</v>
      </c>
    </row>
    <row r="118" ht="22.5" customHeight="1">
      <c r="A118" s="37">
        <v>117.0</v>
      </c>
      <c r="B118" s="38">
        <v>212.0</v>
      </c>
      <c r="C118" s="93" t="s">
        <v>772</v>
      </c>
      <c r="D118" s="40" t="s">
        <v>195</v>
      </c>
      <c r="E118" s="41">
        <v>6.0</v>
      </c>
      <c r="F118" s="42" t="s">
        <v>7</v>
      </c>
    </row>
    <row r="119" ht="22.5" customHeight="1">
      <c r="A119" s="45">
        <v>118.0</v>
      </c>
      <c r="B119" s="46">
        <v>221.0</v>
      </c>
      <c r="C119" s="47" t="s">
        <v>773</v>
      </c>
      <c r="D119" s="62" t="s">
        <v>380</v>
      </c>
      <c r="E119" s="49">
        <v>6.0</v>
      </c>
      <c r="F119" s="50" t="s">
        <v>7</v>
      </c>
    </row>
    <row r="120" ht="22.5" customHeight="1">
      <c r="A120" s="37">
        <v>119.0</v>
      </c>
      <c r="B120" s="38">
        <v>209.0</v>
      </c>
      <c r="C120" s="39" t="s">
        <v>774</v>
      </c>
      <c r="D120" s="51" t="s">
        <v>380</v>
      </c>
      <c r="E120" s="41">
        <v>6.0</v>
      </c>
      <c r="F120" s="42" t="s">
        <v>7</v>
      </c>
    </row>
    <row r="121" ht="22.5" customHeight="1">
      <c r="A121" s="45">
        <v>120.0</v>
      </c>
      <c r="B121" s="46">
        <v>210.0</v>
      </c>
      <c r="C121" s="47" t="s">
        <v>775</v>
      </c>
      <c r="D121" s="62" t="s">
        <v>380</v>
      </c>
      <c r="E121" s="49">
        <v>6.0</v>
      </c>
      <c r="F121" s="50" t="s">
        <v>7</v>
      </c>
    </row>
    <row r="122" ht="22.5" customHeight="1">
      <c r="A122" s="37">
        <v>121.0</v>
      </c>
      <c r="B122" s="38">
        <v>211.0</v>
      </c>
      <c r="C122" s="39" t="s">
        <v>776</v>
      </c>
      <c r="D122" s="51" t="s">
        <v>380</v>
      </c>
      <c r="E122" s="41">
        <v>6.0</v>
      </c>
      <c r="F122" s="42" t="s">
        <v>7</v>
      </c>
    </row>
    <row r="123" ht="22.5" customHeight="1">
      <c r="A123" s="45">
        <v>122.0</v>
      </c>
      <c r="B123" s="46">
        <v>234.0</v>
      </c>
      <c r="C123" s="47" t="s">
        <v>777</v>
      </c>
      <c r="D123" s="48" t="s">
        <v>331</v>
      </c>
      <c r="E123" s="49">
        <v>6.0</v>
      </c>
      <c r="F123" s="50" t="s">
        <v>7</v>
      </c>
    </row>
    <row r="124" ht="22.5" customHeight="1">
      <c r="A124" s="37">
        <v>123.0</v>
      </c>
      <c r="B124" s="38">
        <v>245.0</v>
      </c>
      <c r="C124" s="39" t="s">
        <v>778</v>
      </c>
      <c r="D124" s="61" t="s">
        <v>331</v>
      </c>
      <c r="E124" s="41">
        <v>6.0</v>
      </c>
      <c r="F124" s="42" t="s">
        <v>7</v>
      </c>
    </row>
    <row r="125" ht="22.5" customHeight="1">
      <c r="A125" s="45">
        <v>124.0</v>
      </c>
      <c r="B125" s="46">
        <v>228.0</v>
      </c>
      <c r="C125" s="47" t="s">
        <v>779</v>
      </c>
      <c r="D125" s="56" t="s">
        <v>450</v>
      </c>
      <c r="E125" s="49">
        <v>6.0</v>
      </c>
      <c r="F125" s="50" t="s">
        <v>7</v>
      </c>
    </row>
    <row r="126" ht="22.5" customHeight="1">
      <c r="A126" s="37">
        <v>125.0</v>
      </c>
      <c r="B126" s="38">
        <v>232.0</v>
      </c>
      <c r="C126" s="39" t="s">
        <v>780</v>
      </c>
      <c r="D126" s="52" t="s">
        <v>450</v>
      </c>
      <c r="E126" s="41">
        <v>6.0</v>
      </c>
      <c r="F126" s="42" t="s">
        <v>7</v>
      </c>
    </row>
    <row r="127" ht="22.5" customHeight="1">
      <c r="A127" s="45">
        <v>126.0</v>
      </c>
      <c r="B127" s="46">
        <v>224.0</v>
      </c>
      <c r="C127" s="47" t="s">
        <v>781</v>
      </c>
      <c r="D127" s="60" t="s">
        <v>195</v>
      </c>
      <c r="E127" s="49">
        <v>6.0</v>
      </c>
      <c r="F127" s="50" t="s">
        <v>7</v>
      </c>
    </row>
    <row r="128" ht="22.5" customHeight="1">
      <c r="A128" s="37">
        <v>127.0</v>
      </c>
      <c r="B128" s="38">
        <v>350.0</v>
      </c>
      <c r="C128" s="39" t="s">
        <v>782</v>
      </c>
      <c r="D128" s="40" t="s">
        <v>195</v>
      </c>
      <c r="E128" s="41">
        <v>6.0</v>
      </c>
      <c r="F128" s="42" t="s">
        <v>7</v>
      </c>
    </row>
    <row r="129" ht="22.5" customHeight="1">
      <c r="A129" s="45">
        <v>128.0</v>
      </c>
      <c r="B129" s="46">
        <v>216.0</v>
      </c>
      <c r="C129" s="47" t="s">
        <v>783</v>
      </c>
      <c r="D129" s="56" t="s">
        <v>450</v>
      </c>
      <c r="E129" s="49">
        <v>6.0</v>
      </c>
      <c r="F129" s="50" t="s">
        <v>7</v>
      </c>
    </row>
    <row r="130" ht="22.5" customHeight="1">
      <c r="A130" s="37">
        <v>129.0</v>
      </c>
      <c r="B130" s="38">
        <v>226.0</v>
      </c>
      <c r="C130" s="39" t="s">
        <v>784</v>
      </c>
      <c r="D130" s="51" t="s">
        <v>380</v>
      </c>
      <c r="E130" s="41">
        <v>6.0</v>
      </c>
      <c r="F130" s="42" t="s">
        <v>7</v>
      </c>
    </row>
    <row r="131" ht="22.5" customHeight="1">
      <c r="A131" s="45">
        <v>130.0</v>
      </c>
      <c r="B131" s="46">
        <v>238.0</v>
      </c>
      <c r="C131" s="47" t="s">
        <v>785</v>
      </c>
      <c r="D131" s="56" t="s">
        <v>450</v>
      </c>
      <c r="E131" s="49">
        <v>6.0</v>
      </c>
      <c r="F131" s="50" t="s">
        <v>7</v>
      </c>
    </row>
    <row r="132" ht="22.5" customHeight="1">
      <c r="A132" s="37">
        <v>131.0</v>
      </c>
      <c r="B132" s="38">
        <v>214.0</v>
      </c>
      <c r="C132" s="93" t="s">
        <v>786</v>
      </c>
      <c r="D132" s="52" t="s">
        <v>450</v>
      </c>
      <c r="E132" s="41">
        <v>6.0</v>
      </c>
      <c r="F132" s="42" t="s">
        <v>7</v>
      </c>
    </row>
    <row r="133" ht="22.5" customHeight="1">
      <c r="A133" s="45">
        <v>132.0</v>
      </c>
      <c r="B133" s="46">
        <v>231.0</v>
      </c>
      <c r="C133" s="47" t="s">
        <v>787</v>
      </c>
      <c r="D133" s="48" t="s">
        <v>331</v>
      </c>
      <c r="E133" s="49">
        <v>6.0</v>
      </c>
      <c r="F133" s="50" t="s">
        <v>7</v>
      </c>
    </row>
    <row r="134" ht="22.5" customHeight="1">
      <c r="A134" s="37">
        <v>133.0</v>
      </c>
      <c r="B134" s="38">
        <v>235.0</v>
      </c>
      <c r="C134" s="39" t="s">
        <v>788</v>
      </c>
      <c r="D134" s="51" t="s">
        <v>380</v>
      </c>
      <c r="E134" s="41">
        <v>6.0</v>
      </c>
      <c r="F134" s="42" t="s">
        <v>7</v>
      </c>
    </row>
    <row r="135" ht="22.5" customHeight="1">
      <c r="A135" s="45">
        <v>134.0</v>
      </c>
      <c r="B135" s="46">
        <v>189.0</v>
      </c>
      <c r="C135" s="47" t="s">
        <v>789</v>
      </c>
      <c r="D135" s="60" t="s">
        <v>195</v>
      </c>
      <c r="E135" s="49">
        <v>6.0</v>
      </c>
      <c r="F135" s="50" t="s">
        <v>7</v>
      </c>
    </row>
    <row r="136" ht="22.5" customHeight="1">
      <c r="A136" s="37">
        <v>135.0</v>
      </c>
      <c r="B136" s="38">
        <v>243.0</v>
      </c>
      <c r="C136" s="39" t="s">
        <v>790</v>
      </c>
      <c r="D136" s="52" t="s">
        <v>450</v>
      </c>
      <c r="E136" s="41">
        <v>6.0</v>
      </c>
      <c r="F136" s="42" t="s">
        <v>7</v>
      </c>
    </row>
    <row r="137" ht="22.5" customHeight="1">
      <c r="A137" s="45">
        <v>136.0</v>
      </c>
      <c r="B137" s="46">
        <v>197.0</v>
      </c>
      <c r="C137" s="47" t="s">
        <v>791</v>
      </c>
      <c r="D137" s="48" t="s">
        <v>331</v>
      </c>
      <c r="E137" s="49">
        <v>6.0</v>
      </c>
      <c r="F137" s="50" t="s">
        <v>7</v>
      </c>
    </row>
    <row r="138" ht="22.5" customHeight="1">
      <c r="A138" s="37">
        <v>137.0</v>
      </c>
      <c r="B138" s="38">
        <v>233.0</v>
      </c>
      <c r="C138" s="39" t="s">
        <v>792</v>
      </c>
      <c r="D138" s="40" t="s">
        <v>195</v>
      </c>
      <c r="E138" s="41">
        <v>6.0</v>
      </c>
      <c r="F138" s="42" t="s">
        <v>7</v>
      </c>
    </row>
    <row r="139" ht="22.5" customHeight="1">
      <c r="A139" s="45">
        <v>138.0</v>
      </c>
      <c r="B139" s="46">
        <v>215.0</v>
      </c>
      <c r="C139" s="47" t="s">
        <v>793</v>
      </c>
      <c r="D139" s="60" t="s">
        <v>195</v>
      </c>
      <c r="E139" s="49">
        <v>6.0</v>
      </c>
      <c r="F139" s="50" t="s">
        <v>7</v>
      </c>
    </row>
    <row r="140" ht="22.5" customHeight="1">
      <c r="A140" s="37">
        <v>139.0</v>
      </c>
      <c r="B140" s="38">
        <v>435.0</v>
      </c>
      <c r="C140" s="39" t="s">
        <v>794</v>
      </c>
      <c r="D140" s="61" t="s">
        <v>331</v>
      </c>
      <c r="E140" s="41">
        <v>6.0</v>
      </c>
      <c r="F140" s="42" t="s">
        <v>7</v>
      </c>
    </row>
    <row r="141" ht="22.5" customHeight="1">
      <c r="A141" s="45">
        <v>140.0</v>
      </c>
      <c r="B141" s="46">
        <v>237.0</v>
      </c>
      <c r="C141" s="47" t="s">
        <v>795</v>
      </c>
      <c r="D141" s="62" t="s">
        <v>380</v>
      </c>
      <c r="E141" s="49">
        <v>6.0</v>
      </c>
      <c r="F141" s="50" t="s">
        <v>7</v>
      </c>
    </row>
    <row r="142" ht="22.5" customHeight="1">
      <c r="A142" s="37">
        <v>141.0</v>
      </c>
      <c r="B142" s="38">
        <v>253.0</v>
      </c>
      <c r="C142" s="39" t="s">
        <v>796</v>
      </c>
      <c r="D142" s="61" t="s">
        <v>331</v>
      </c>
      <c r="E142" s="41">
        <v>5.0</v>
      </c>
      <c r="F142" s="42" t="s">
        <v>5</v>
      </c>
    </row>
    <row r="143" ht="22.5" customHeight="1">
      <c r="A143" s="45">
        <v>142.0</v>
      </c>
      <c r="B143" s="46">
        <v>267.0</v>
      </c>
      <c r="C143" s="47" t="s">
        <v>797</v>
      </c>
      <c r="D143" s="56" t="s">
        <v>450</v>
      </c>
      <c r="E143" s="49">
        <v>5.0</v>
      </c>
      <c r="F143" s="50" t="s">
        <v>5</v>
      </c>
    </row>
    <row r="144" ht="22.5" customHeight="1">
      <c r="A144" s="37">
        <v>143.0</v>
      </c>
      <c r="B144" s="38">
        <v>437.0</v>
      </c>
      <c r="C144" s="39" t="s">
        <v>798</v>
      </c>
      <c r="D144" s="52" t="s">
        <v>450</v>
      </c>
      <c r="E144" s="41">
        <v>5.0</v>
      </c>
      <c r="F144" s="42" t="s">
        <v>5</v>
      </c>
    </row>
    <row r="145" ht="22.5" customHeight="1">
      <c r="A145" s="45">
        <v>144.0</v>
      </c>
      <c r="B145" s="46">
        <v>260.0</v>
      </c>
      <c r="C145" s="47" t="s">
        <v>799</v>
      </c>
      <c r="D145" s="48" t="s">
        <v>331</v>
      </c>
      <c r="E145" s="49">
        <v>5.0</v>
      </c>
      <c r="F145" s="50" t="s">
        <v>5</v>
      </c>
    </row>
    <row r="146" ht="22.5" customHeight="1">
      <c r="A146" s="37">
        <v>145.0</v>
      </c>
      <c r="B146" s="38">
        <v>290.0</v>
      </c>
      <c r="C146" s="39" t="s">
        <v>800</v>
      </c>
      <c r="D146" s="40" t="s">
        <v>195</v>
      </c>
      <c r="E146" s="41">
        <v>5.0</v>
      </c>
      <c r="F146" s="42" t="s">
        <v>5</v>
      </c>
    </row>
    <row r="147" ht="22.5" customHeight="1">
      <c r="A147" s="45">
        <v>146.0</v>
      </c>
      <c r="B147" s="57">
        <v>250.0</v>
      </c>
      <c r="C147" s="58" t="s">
        <v>801</v>
      </c>
      <c r="D147" s="59" t="s">
        <v>331</v>
      </c>
      <c r="E147" s="49">
        <v>5.0</v>
      </c>
      <c r="F147" s="50" t="s">
        <v>5</v>
      </c>
    </row>
    <row r="148" ht="22.5" customHeight="1">
      <c r="A148" s="37">
        <v>147.0</v>
      </c>
      <c r="B148" s="38">
        <v>251.0</v>
      </c>
      <c r="C148" s="39" t="s">
        <v>802</v>
      </c>
      <c r="D148" s="40" t="s">
        <v>195</v>
      </c>
      <c r="E148" s="41">
        <v>5.0</v>
      </c>
      <c r="F148" s="42" t="s">
        <v>5</v>
      </c>
    </row>
    <row r="149" ht="22.5" customHeight="1">
      <c r="A149" s="45">
        <v>148.0</v>
      </c>
      <c r="B149" s="46">
        <v>390.0</v>
      </c>
      <c r="C149" s="47" t="s">
        <v>803</v>
      </c>
      <c r="D149" s="48" t="s">
        <v>331</v>
      </c>
      <c r="E149" s="49">
        <v>5.0</v>
      </c>
      <c r="F149" s="50" t="s">
        <v>5</v>
      </c>
    </row>
    <row r="150" ht="22.5" customHeight="1">
      <c r="A150" s="37">
        <v>149.0</v>
      </c>
      <c r="B150" s="38">
        <v>259.0</v>
      </c>
      <c r="C150" s="39" t="s">
        <v>804</v>
      </c>
      <c r="D150" s="51" t="s">
        <v>380</v>
      </c>
      <c r="E150" s="41">
        <v>5.0</v>
      </c>
      <c r="F150" s="42" t="s">
        <v>5</v>
      </c>
    </row>
    <row r="151" ht="22.5" customHeight="1">
      <c r="A151" s="45">
        <v>150.0</v>
      </c>
      <c r="B151" s="46">
        <v>285.0</v>
      </c>
      <c r="C151" s="47" t="s">
        <v>805</v>
      </c>
      <c r="D151" s="56" t="s">
        <v>450</v>
      </c>
      <c r="E151" s="49">
        <v>5.0</v>
      </c>
      <c r="F151" s="50" t="s">
        <v>5</v>
      </c>
    </row>
    <row r="152" ht="22.5" customHeight="1">
      <c r="A152" s="37">
        <v>151.0</v>
      </c>
      <c r="B152" s="76">
        <v>265.0</v>
      </c>
      <c r="C152" s="77" t="s">
        <v>806</v>
      </c>
      <c r="D152" s="78" t="s">
        <v>450</v>
      </c>
      <c r="E152" s="41">
        <v>5.0</v>
      </c>
      <c r="F152" s="42" t="s">
        <v>5</v>
      </c>
    </row>
    <row r="153" ht="22.5" customHeight="1">
      <c r="A153" s="45">
        <v>152.0</v>
      </c>
      <c r="B153" s="46">
        <v>279.0</v>
      </c>
      <c r="C153" s="47" t="s">
        <v>807</v>
      </c>
      <c r="D153" s="48" t="s">
        <v>331</v>
      </c>
      <c r="E153" s="49">
        <v>5.0</v>
      </c>
      <c r="F153" s="50" t="s">
        <v>5</v>
      </c>
    </row>
    <row r="154" ht="22.5" customHeight="1">
      <c r="A154" s="37">
        <v>153.0</v>
      </c>
      <c r="B154" s="38">
        <v>272.0</v>
      </c>
      <c r="C154" s="64" t="s">
        <v>808</v>
      </c>
      <c r="D154" s="65" t="s">
        <v>195</v>
      </c>
      <c r="E154" s="41">
        <v>5.0</v>
      </c>
      <c r="F154" s="42" t="s">
        <v>5</v>
      </c>
    </row>
    <row r="155" ht="22.5" customHeight="1">
      <c r="A155" s="45">
        <v>154.0</v>
      </c>
      <c r="B155" s="46">
        <v>395.0</v>
      </c>
      <c r="C155" s="47" t="s">
        <v>809</v>
      </c>
      <c r="D155" s="62" t="s">
        <v>380</v>
      </c>
      <c r="E155" s="49">
        <v>5.0</v>
      </c>
      <c r="F155" s="50" t="s">
        <v>5</v>
      </c>
    </row>
    <row r="156" ht="22.5" customHeight="1">
      <c r="A156" s="37">
        <v>155.0</v>
      </c>
      <c r="B156" s="38">
        <v>266.0</v>
      </c>
      <c r="C156" s="39" t="s">
        <v>810</v>
      </c>
      <c r="D156" s="40" t="s">
        <v>195</v>
      </c>
      <c r="E156" s="41">
        <v>5.0</v>
      </c>
      <c r="F156" s="42" t="s">
        <v>5</v>
      </c>
    </row>
    <row r="157" ht="22.5" customHeight="1">
      <c r="A157" s="45">
        <v>156.0</v>
      </c>
      <c r="B157" s="46">
        <v>256.0</v>
      </c>
      <c r="C157" s="47" t="s">
        <v>811</v>
      </c>
      <c r="D157" s="60" t="s">
        <v>195</v>
      </c>
      <c r="E157" s="49">
        <v>5.0</v>
      </c>
      <c r="F157" s="50" t="s">
        <v>5</v>
      </c>
    </row>
    <row r="158" ht="22.5" customHeight="1">
      <c r="A158" s="37">
        <v>157.0</v>
      </c>
      <c r="B158" s="38">
        <v>288.0</v>
      </c>
      <c r="C158" s="39" t="s">
        <v>812</v>
      </c>
      <c r="D158" s="61" t="s">
        <v>331</v>
      </c>
      <c r="E158" s="41">
        <v>5.0</v>
      </c>
      <c r="F158" s="42" t="s">
        <v>5</v>
      </c>
    </row>
    <row r="159" ht="22.5" customHeight="1">
      <c r="A159" s="45">
        <v>158.0</v>
      </c>
      <c r="B159" s="46">
        <v>286.0</v>
      </c>
      <c r="C159" s="47" t="s">
        <v>813</v>
      </c>
      <c r="D159" s="60" t="s">
        <v>195</v>
      </c>
      <c r="E159" s="49">
        <v>5.0</v>
      </c>
      <c r="F159" s="50" t="s">
        <v>5</v>
      </c>
    </row>
    <row r="160" ht="22.5" customHeight="1">
      <c r="A160" s="37">
        <v>159.0</v>
      </c>
      <c r="B160" s="38">
        <v>287.0</v>
      </c>
      <c r="C160" s="39" t="s">
        <v>814</v>
      </c>
      <c r="D160" s="51" t="s">
        <v>380</v>
      </c>
      <c r="E160" s="41">
        <v>5.0</v>
      </c>
      <c r="F160" s="42" t="s">
        <v>5</v>
      </c>
    </row>
    <row r="161" ht="22.5" customHeight="1">
      <c r="A161" s="45">
        <v>160.0</v>
      </c>
      <c r="B161" s="46">
        <v>258.0</v>
      </c>
      <c r="C161" s="47" t="s">
        <v>815</v>
      </c>
      <c r="D161" s="62" t="s">
        <v>380</v>
      </c>
      <c r="E161" s="49">
        <v>5.0</v>
      </c>
      <c r="F161" s="50" t="s">
        <v>5</v>
      </c>
    </row>
    <row r="162" ht="22.5" customHeight="1">
      <c r="A162" s="37">
        <v>161.0</v>
      </c>
      <c r="B162" s="38">
        <v>230.0</v>
      </c>
      <c r="C162" s="39" t="s">
        <v>816</v>
      </c>
      <c r="D162" s="52" t="s">
        <v>450</v>
      </c>
      <c r="E162" s="41">
        <v>5.0</v>
      </c>
      <c r="F162" s="42" t="s">
        <v>5</v>
      </c>
    </row>
    <row r="163" ht="22.5" customHeight="1">
      <c r="A163" s="45">
        <v>162.0</v>
      </c>
      <c r="B163" s="53">
        <v>276.0</v>
      </c>
      <c r="C163" s="54" t="s">
        <v>817</v>
      </c>
      <c r="D163" s="55" t="s">
        <v>380</v>
      </c>
      <c r="E163" s="49">
        <v>5.0</v>
      </c>
      <c r="F163" s="50" t="s">
        <v>5</v>
      </c>
    </row>
    <row r="164" ht="22.5" customHeight="1">
      <c r="A164" s="37">
        <v>163.0</v>
      </c>
      <c r="B164" s="38">
        <v>292.0</v>
      </c>
      <c r="C164" s="39" t="s">
        <v>818</v>
      </c>
      <c r="D164" s="61" t="s">
        <v>331</v>
      </c>
      <c r="E164" s="41">
        <v>5.0</v>
      </c>
      <c r="F164" s="42" t="s">
        <v>5</v>
      </c>
    </row>
    <row r="165" ht="22.5" customHeight="1">
      <c r="A165" s="45">
        <v>164.0</v>
      </c>
      <c r="B165" s="46">
        <v>261.0</v>
      </c>
      <c r="C165" s="47" t="s">
        <v>819</v>
      </c>
      <c r="D165" s="62" t="s">
        <v>380</v>
      </c>
      <c r="E165" s="49">
        <v>5.0</v>
      </c>
      <c r="F165" s="50" t="s">
        <v>5</v>
      </c>
    </row>
    <row r="166" ht="22.5" customHeight="1">
      <c r="A166" s="37">
        <v>165.0</v>
      </c>
      <c r="B166" s="38">
        <v>389.0</v>
      </c>
      <c r="C166" s="39" t="s">
        <v>820</v>
      </c>
      <c r="D166" s="40" t="s">
        <v>195</v>
      </c>
      <c r="E166" s="41">
        <v>5.0</v>
      </c>
      <c r="F166" s="42" t="s">
        <v>5</v>
      </c>
    </row>
    <row r="167" ht="22.5" customHeight="1">
      <c r="A167" s="45">
        <v>166.0</v>
      </c>
      <c r="B167" s="46">
        <v>255.0</v>
      </c>
      <c r="C167" s="47" t="s">
        <v>821</v>
      </c>
      <c r="D167" s="56" t="s">
        <v>450</v>
      </c>
      <c r="E167" s="49">
        <v>5.0</v>
      </c>
      <c r="F167" s="50" t="s">
        <v>5</v>
      </c>
    </row>
    <row r="168" ht="22.5" customHeight="1">
      <c r="A168" s="37">
        <v>167.0</v>
      </c>
      <c r="B168" s="38">
        <v>275.0</v>
      </c>
      <c r="C168" s="39" t="s">
        <v>822</v>
      </c>
      <c r="D168" s="51" t="s">
        <v>380</v>
      </c>
      <c r="E168" s="41">
        <v>5.0</v>
      </c>
      <c r="F168" s="42" t="s">
        <v>5</v>
      </c>
    </row>
    <row r="169" ht="22.5" customHeight="1">
      <c r="A169" s="45">
        <v>168.0</v>
      </c>
      <c r="B169" s="46">
        <v>236.0</v>
      </c>
      <c r="C169" s="47" t="s">
        <v>823</v>
      </c>
      <c r="D169" s="62" t="s">
        <v>380</v>
      </c>
      <c r="E169" s="49">
        <v>5.0</v>
      </c>
      <c r="F169" s="50" t="s">
        <v>5</v>
      </c>
    </row>
    <row r="170" ht="22.5" customHeight="1">
      <c r="A170" s="37">
        <v>169.0</v>
      </c>
      <c r="B170" s="38">
        <v>271.0</v>
      </c>
      <c r="C170" s="39" t="s">
        <v>824</v>
      </c>
      <c r="D170" s="52" t="s">
        <v>450</v>
      </c>
      <c r="E170" s="41">
        <v>5.0</v>
      </c>
      <c r="F170" s="42" t="s">
        <v>5</v>
      </c>
    </row>
    <row r="171" ht="22.5" customHeight="1">
      <c r="A171" s="45">
        <v>170.0</v>
      </c>
      <c r="B171" s="46">
        <v>283.0</v>
      </c>
      <c r="C171" s="47" t="s">
        <v>825</v>
      </c>
      <c r="D171" s="60" t="s">
        <v>195</v>
      </c>
      <c r="E171" s="49">
        <v>5.0</v>
      </c>
      <c r="F171" s="50" t="s">
        <v>5</v>
      </c>
    </row>
    <row r="172" ht="22.5" customHeight="1">
      <c r="A172" s="37">
        <v>171.0</v>
      </c>
      <c r="B172" s="38">
        <v>439.0</v>
      </c>
      <c r="C172" s="39" t="s">
        <v>826</v>
      </c>
      <c r="D172" s="61" t="s">
        <v>331</v>
      </c>
      <c r="E172" s="41">
        <v>5.0</v>
      </c>
      <c r="F172" s="42" t="s">
        <v>5</v>
      </c>
    </row>
    <row r="173" ht="22.5" customHeight="1">
      <c r="A173" s="45">
        <v>172.0</v>
      </c>
      <c r="B173" s="46">
        <v>341.0</v>
      </c>
      <c r="C173" s="47" t="s">
        <v>827</v>
      </c>
      <c r="D173" s="60" t="s">
        <v>195</v>
      </c>
      <c r="E173" s="49">
        <v>4.0</v>
      </c>
      <c r="F173" s="50" t="s">
        <v>5</v>
      </c>
    </row>
    <row r="174" ht="22.5" customHeight="1">
      <c r="A174" s="37">
        <v>173.0</v>
      </c>
      <c r="B174" s="38">
        <v>335.0</v>
      </c>
      <c r="C174" s="39" t="s">
        <v>828</v>
      </c>
      <c r="D174" s="52" t="s">
        <v>450</v>
      </c>
      <c r="E174" s="41">
        <v>4.0</v>
      </c>
      <c r="F174" s="42" t="s">
        <v>5</v>
      </c>
    </row>
    <row r="175" ht="22.5" customHeight="1">
      <c r="A175" s="45">
        <v>174.0</v>
      </c>
      <c r="B175" s="46">
        <v>311.0</v>
      </c>
      <c r="C175" s="47" t="s">
        <v>829</v>
      </c>
      <c r="D175" s="48" t="s">
        <v>331</v>
      </c>
      <c r="E175" s="49">
        <v>4.0</v>
      </c>
      <c r="F175" s="50" t="s">
        <v>5</v>
      </c>
    </row>
    <row r="176" ht="22.5" customHeight="1">
      <c r="A176" s="37">
        <v>175.0</v>
      </c>
      <c r="B176" s="38">
        <v>312.0</v>
      </c>
      <c r="C176" s="39" t="s">
        <v>830</v>
      </c>
      <c r="D176" s="61" t="s">
        <v>331</v>
      </c>
      <c r="E176" s="41">
        <v>4.0</v>
      </c>
      <c r="F176" s="42" t="s">
        <v>5</v>
      </c>
    </row>
    <row r="177" ht="22.5" customHeight="1">
      <c r="A177" s="45">
        <v>176.0</v>
      </c>
      <c r="B177" s="46">
        <v>310.0</v>
      </c>
      <c r="C177" s="47" t="s">
        <v>831</v>
      </c>
      <c r="D177" s="56" t="s">
        <v>450</v>
      </c>
      <c r="E177" s="49">
        <v>4.0</v>
      </c>
      <c r="F177" s="50" t="s">
        <v>5</v>
      </c>
    </row>
    <row r="178" ht="22.5" customHeight="1">
      <c r="A178" s="37">
        <v>177.0</v>
      </c>
      <c r="B178" s="38">
        <v>326.0</v>
      </c>
      <c r="C178" s="39" t="s">
        <v>832</v>
      </c>
      <c r="D178" s="52" t="s">
        <v>450</v>
      </c>
      <c r="E178" s="41">
        <v>4.0</v>
      </c>
      <c r="F178" s="42" t="s">
        <v>5</v>
      </c>
    </row>
    <row r="179" ht="22.5" customHeight="1">
      <c r="A179" s="45">
        <v>178.0</v>
      </c>
      <c r="B179" s="46">
        <v>306.0</v>
      </c>
      <c r="C179" s="47" t="s">
        <v>833</v>
      </c>
      <c r="D179" s="62" t="s">
        <v>380</v>
      </c>
      <c r="E179" s="49">
        <v>4.0</v>
      </c>
      <c r="F179" s="50" t="s">
        <v>5</v>
      </c>
    </row>
    <row r="180" ht="22.5" customHeight="1">
      <c r="A180" s="37">
        <v>179.0</v>
      </c>
      <c r="B180" s="38">
        <v>307.0</v>
      </c>
      <c r="C180" s="39" t="s">
        <v>834</v>
      </c>
      <c r="D180" s="51" t="s">
        <v>380</v>
      </c>
      <c r="E180" s="41">
        <v>4.0</v>
      </c>
      <c r="F180" s="42" t="s">
        <v>5</v>
      </c>
    </row>
    <row r="181" ht="22.5" customHeight="1">
      <c r="A181" s="45">
        <v>180.0</v>
      </c>
      <c r="B181" s="46">
        <v>330.0</v>
      </c>
      <c r="C181" s="47" t="s">
        <v>835</v>
      </c>
      <c r="D181" s="60" t="s">
        <v>195</v>
      </c>
      <c r="E181" s="49">
        <v>4.0</v>
      </c>
      <c r="F181" s="50" t="s">
        <v>5</v>
      </c>
    </row>
    <row r="182" ht="22.5" customHeight="1">
      <c r="A182" s="37">
        <v>181.0</v>
      </c>
      <c r="B182" s="38">
        <v>313.0</v>
      </c>
      <c r="C182" s="39" t="s">
        <v>836</v>
      </c>
      <c r="D182" s="40" t="s">
        <v>195</v>
      </c>
      <c r="E182" s="41">
        <v>4.0</v>
      </c>
      <c r="F182" s="42" t="s">
        <v>5</v>
      </c>
    </row>
    <row r="183" ht="22.5" customHeight="1">
      <c r="A183" s="45">
        <v>182.0</v>
      </c>
      <c r="B183" s="46">
        <v>338.0</v>
      </c>
      <c r="C183" s="47" t="s">
        <v>837</v>
      </c>
      <c r="D183" s="60" t="s">
        <v>195</v>
      </c>
      <c r="E183" s="49">
        <v>4.0</v>
      </c>
      <c r="F183" s="50" t="s">
        <v>5</v>
      </c>
    </row>
    <row r="184" ht="22.5" customHeight="1">
      <c r="A184" s="37">
        <v>183.0</v>
      </c>
      <c r="B184" s="38">
        <v>342.0</v>
      </c>
      <c r="C184" s="39" t="s">
        <v>838</v>
      </c>
      <c r="D184" s="52" t="s">
        <v>450</v>
      </c>
      <c r="E184" s="41">
        <v>4.0</v>
      </c>
      <c r="F184" s="42" t="s">
        <v>5</v>
      </c>
    </row>
    <row r="185" ht="22.5" customHeight="1">
      <c r="A185" s="45">
        <v>184.0</v>
      </c>
      <c r="B185" s="46">
        <v>392.0</v>
      </c>
      <c r="C185" s="47" t="s">
        <v>839</v>
      </c>
      <c r="D185" s="56" t="s">
        <v>450</v>
      </c>
      <c r="E185" s="49">
        <v>4.0</v>
      </c>
      <c r="F185" s="50" t="s">
        <v>5</v>
      </c>
    </row>
    <row r="186" ht="22.5" customHeight="1">
      <c r="A186" s="37">
        <v>185.0</v>
      </c>
      <c r="B186" s="38">
        <v>340.0</v>
      </c>
      <c r="C186" s="39" t="s">
        <v>840</v>
      </c>
      <c r="D186" s="61" t="s">
        <v>331</v>
      </c>
      <c r="E186" s="41">
        <v>4.0</v>
      </c>
      <c r="F186" s="42" t="s">
        <v>5</v>
      </c>
    </row>
    <row r="187" ht="22.5" customHeight="1">
      <c r="A187" s="45">
        <v>186.0</v>
      </c>
      <c r="B187" s="46">
        <v>318.0</v>
      </c>
      <c r="C187" s="47" t="s">
        <v>841</v>
      </c>
      <c r="D187" s="56" t="s">
        <v>450</v>
      </c>
      <c r="E187" s="49">
        <v>4.0</v>
      </c>
      <c r="F187" s="50" t="s">
        <v>5</v>
      </c>
    </row>
    <row r="188" ht="22.5" customHeight="1">
      <c r="A188" s="37">
        <v>187.0</v>
      </c>
      <c r="B188" s="38">
        <v>315.0</v>
      </c>
      <c r="C188" s="39" t="s">
        <v>842</v>
      </c>
      <c r="D188" s="40" t="s">
        <v>195</v>
      </c>
      <c r="E188" s="41">
        <v>4.0</v>
      </c>
      <c r="F188" s="42" t="s">
        <v>5</v>
      </c>
    </row>
    <row r="189" ht="22.5" customHeight="1">
      <c r="A189" s="45">
        <v>188.0</v>
      </c>
      <c r="B189" s="46">
        <v>316.0</v>
      </c>
      <c r="C189" s="47" t="s">
        <v>843</v>
      </c>
      <c r="D189" s="62" t="s">
        <v>380</v>
      </c>
      <c r="E189" s="49">
        <v>4.0</v>
      </c>
      <c r="F189" s="50" t="s">
        <v>5</v>
      </c>
    </row>
    <row r="190" ht="22.5" customHeight="1">
      <c r="A190" s="37">
        <v>189.0</v>
      </c>
      <c r="B190" s="38">
        <v>324.0</v>
      </c>
      <c r="C190" s="39" t="s">
        <v>844</v>
      </c>
      <c r="D190" s="51" t="s">
        <v>380</v>
      </c>
      <c r="E190" s="41">
        <v>4.0</v>
      </c>
      <c r="F190" s="42" t="s">
        <v>5</v>
      </c>
    </row>
    <row r="191" ht="22.5" customHeight="1">
      <c r="A191" s="45">
        <v>190.0</v>
      </c>
      <c r="B191" s="46">
        <v>320.0</v>
      </c>
      <c r="C191" s="47" t="s">
        <v>845</v>
      </c>
      <c r="D191" s="56" t="s">
        <v>450</v>
      </c>
      <c r="E191" s="49">
        <v>4.0</v>
      </c>
      <c r="F191" s="50" t="s">
        <v>5</v>
      </c>
    </row>
    <row r="192" ht="22.5" customHeight="1">
      <c r="A192" s="37">
        <v>191.0</v>
      </c>
      <c r="B192" s="38">
        <v>322.0</v>
      </c>
      <c r="C192" s="39" t="s">
        <v>846</v>
      </c>
      <c r="D192" s="61" t="s">
        <v>331</v>
      </c>
      <c r="E192" s="41">
        <v>4.0</v>
      </c>
      <c r="F192" s="42" t="s">
        <v>5</v>
      </c>
    </row>
    <row r="193" ht="22.5" customHeight="1">
      <c r="A193" s="45">
        <v>192.0</v>
      </c>
      <c r="B193" s="46">
        <v>257.0</v>
      </c>
      <c r="C193" s="47" t="s">
        <v>847</v>
      </c>
      <c r="D193" s="56" t="s">
        <v>450</v>
      </c>
      <c r="E193" s="49">
        <v>4.0</v>
      </c>
      <c r="F193" s="50" t="s">
        <v>5</v>
      </c>
    </row>
    <row r="194" ht="22.5" customHeight="1">
      <c r="A194" s="37">
        <v>193.0</v>
      </c>
      <c r="B194" s="38">
        <v>321.0</v>
      </c>
      <c r="C194" s="39" t="s">
        <v>848</v>
      </c>
      <c r="D194" s="40" t="s">
        <v>195</v>
      </c>
      <c r="E194" s="41">
        <v>4.0</v>
      </c>
      <c r="F194" s="42" t="s">
        <v>5</v>
      </c>
    </row>
    <row r="195" ht="22.5" customHeight="1">
      <c r="A195" s="45">
        <v>194.0</v>
      </c>
      <c r="B195" s="46">
        <v>317.0</v>
      </c>
      <c r="C195" s="47" t="s">
        <v>849</v>
      </c>
      <c r="D195" s="60" t="s">
        <v>195</v>
      </c>
      <c r="E195" s="49">
        <v>4.0</v>
      </c>
      <c r="F195" s="50" t="s">
        <v>5</v>
      </c>
    </row>
    <row r="196" ht="22.5" customHeight="1">
      <c r="A196" s="37">
        <v>195.0</v>
      </c>
      <c r="B196" s="38">
        <v>323.0</v>
      </c>
      <c r="C196" s="39" t="s">
        <v>850</v>
      </c>
      <c r="D196" s="40" t="s">
        <v>195</v>
      </c>
      <c r="E196" s="41">
        <v>4.0</v>
      </c>
      <c r="F196" s="42" t="s">
        <v>5</v>
      </c>
    </row>
    <row r="197" ht="22.5" customHeight="1">
      <c r="A197" s="45">
        <v>196.0</v>
      </c>
      <c r="B197" s="46">
        <v>343.0</v>
      </c>
      <c r="C197" s="47" t="s">
        <v>851</v>
      </c>
      <c r="D197" s="48" t="s">
        <v>331</v>
      </c>
      <c r="E197" s="49">
        <v>4.0</v>
      </c>
      <c r="F197" s="50" t="s">
        <v>5</v>
      </c>
    </row>
    <row r="198" ht="22.5" customHeight="1">
      <c r="A198" s="37">
        <v>197.0</v>
      </c>
      <c r="B198" s="38">
        <v>331.0</v>
      </c>
      <c r="C198" s="39" t="s">
        <v>852</v>
      </c>
      <c r="D198" s="52" t="s">
        <v>450</v>
      </c>
      <c r="E198" s="41">
        <v>4.0</v>
      </c>
      <c r="F198" s="42" t="s">
        <v>5</v>
      </c>
    </row>
    <row r="199" ht="22.5" customHeight="1">
      <c r="A199" s="45">
        <v>198.0</v>
      </c>
      <c r="B199" s="46">
        <v>274.0</v>
      </c>
      <c r="C199" s="47" t="s">
        <v>853</v>
      </c>
      <c r="D199" s="62" t="s">
        <v>380</v>
      </c>
      <c r="E199" s="49">
        <v>4.0</v>
      </c>
      <c r="F199" s="50" t="s">
        <v>5</v>
      </c>
    </row>
    <row r="200" ht="22.5" customHeight="1">
      <c r="A200" s="37">
        <v>199.0</v>
      </c>
      <c r="B200" s="38">
        <v>339.0</v>
      </c>
      <c r="C200" s="39" t="s">
        <v>854</v>
      </c>
      <c r="D200" s="51" t="s">
        <v>380</v>
      </c>
      <c r="E200" s="41">
        <v>4.0</v>
      </c>
      <c r="F200" s="42" t="s">
        <v>5</v>
      </c>
    </row>
    <row r="201" ht="22.5" customHeight="1">
      <c r="A201" s="45">
        <v>200.0</v>
      </c>
      <c r="B201" s="46">
        <v>308.0</v>
      </c>
      <c r="C201" s="47" t="s">
        <v>855</v>
      </c>
      <c r="D201" s="48" t="s">
        <v>331</v>
      </c>
      <c r="E201" s="49">
        <v>4.0</v>
      </c>
      <c r="F201" s="50" t="s">
        <v>5</v>
      </c>
    </row>
    <row r="202" ht="22.5" customHeight="1">
      <c r="A202" s="37">
        <v>201.0</v>
      </c>
      <c r="B202" s="38">
        <v>273.0</v>
      </c>
      <c r="C202" s="39" t="s">
        <v>856</v>
      </c>
      <c r="D202" s="51" t="s">
        <v>380</v>
      </c>
      <c r="E202" s="41">
        <v>4.0</v>
      </c>
      <c r="F202" s="42" t="s">
        <v>5</v>
      </c>
    </row>
    <row r="203" ht="22.5" customHeight="1">
      <c r="A203" s="45">
        <v>202.0</v>
      </c>
      <c r="B203" s="46">
        <v>352.0</v>
      </c>
      <c r="C203" s="47" t="s">
        <v>857</v>
      </c>
      <c r="D203" s="60" t="s">
        <v>195</v>
      </c>
      <c r="E203" s="49">
        <v>4.0</v>
      </c>
      <c r="F203" s="50" t="s">
        <v>5</v>
      </c>
    </row>
    <row r="204" ht="22.5" customHeight="1">
      <c r="A204" s="37">
        <v>203.0</v>
      </c>
      <c r="B204" s="38">
        <v>268.0</v>
      </c>
      <c r="C204" s="39" t="s">
        <v>858</v>
      </c>
      <c r="D204" s="61" t="s">
        <v>331</v>
      </c>
      <c r="E204" s="41">
        <v>4.0</v>
      </c>
      <c r="F204" s="42" t="s">
        <v>5</v>
      </c>
    </row>
    <row r="205" ht="22.5" customHeight="1">
      <c r="A205" s="45">
        <v>204.0</v>
      </c>
      <c r="B205" s="46">
        <v>345.0</v>
      </c>
      <c r="C205" s="47" t="s">
        <v>859</v>
      </c>
      <c r="D205" s="48" t="s">
        <v>331</v>
      </c>
      <c r="E205" s="49">
        <v>4.0</v>
      </c>
      <c r="F205" s="50" t="s">
        <v>5</v>
      </c>
    </row>
    <row r="206" ht="22.5" customHeight="1">
      <c r="A206" s="37">
        <v>205.0</v>
      </c>
      <c r="B206" s="38">
        <v>325.0</v>
      </c>
      <c r="C206" s="39" t="s">
        <v>860</v>
      </c>
      <c r="D206" s="51" t="s">
        <v>380</v>
      </c>
      <c r="E206" s="41">
        <v>4.0</v>
      </c>
      <c r="F206" s="42" t="s">
        <v>5</v>
      </c>
    </row>
    <row r="207" ht="22.5" customHeight="1">
      <c r="A207" s="45">
        <v>206.0</v>
      </c>
      <c r="B207" s="46">
        <v>360.0</v>
      </c>
      <c r="C207" s="47" t="s">
        <v>861</v>
      </c>
      <c r="D207" s="60" t="s">
        <v>195</v>
      </c>
      <c r="E207" s="49">
        <v>3.0</v>
      </c>
      <c r="F207" s="50" t="s">
        <v>4</v>
      </c>
    </row>
    <row r="208" ht="22.5" customHeight="1">
      <c r="A208" s="37">
        <v>207.0</v>
      </c>
      <c r="B208" s="38">
        <v>365.0</v>
      </c>
      <c r="C208" s="39" t="s">
        <v>862</v>
      </c>
      <c r="D208" s="61" t="s">
        <v>331</v>
      </c>
      <c r="E208" s="41">
        <v>3.0</v>
      </c>
      <c r="F208" s="42" t="s">
        <v>4</v>
      </c>
    </row>
    <row r="209" ht="22.5" customHeight="1">
      <c r="A209" s="45">
        <v>208.0</v>
      </c>
      <c r="B209" s="46">
        <v>386.0</v>
      </c>
      <c r="C209" s="47" t="s">
        <v>863</v>
      </c>
      <c r="D209" s="56" t="s">
        <v>450</v>
      </c>
      <c r="E209" s="49">
        <v>3.0</v>
      </c>
      <c r="F209" s="50" t="s">
        <v>4</v>
      </c>
    </row>
    <row r="210" ht="22.5" customHeight="1">
      <c r="A210" s="37">
        <v>209.0</v>
      </c>
      <c r="B210" s="38">
        <v>328.0</v>
      </c>
      <c r="C210" s="39" t="s">
        <v>864</v>
      </c>
      <c r="D210" s="40" t="s">
        <v>195</v>
      </c>
      <c r="E210" s="41">
        <v>3.0</v>
      </c>
      <c r="F210" s="42" t="s">
        <v>4</v>
      </c>
    </row>
    <row r="211" ht="22.5" customHeight="1">
      <c r="A211" s="45">
        <v>210.0</v>
      </c>
      <c r="B211" s="46">
        <v>309.0</v>
      </c>
      <c r="C211" s="47" t="s">
        <v>865</v>
      </c>
      <c r="D211" s="48" t="s">
        <v>331</v>
      </c>
      <c r="E211" s="49">
        <v>3.0</v>
      </c>
      <c r="F211" s="50" t="s">
        <v>4</v>
      </c>
    </row>
    <row r="212" ht="22.5" customHeight="1">
      <c r="A212" s="37">
        <v>211.0</v>
      </c>
      <c r="B212" s="38">
        <v>370.0</v>
      </c>
      <c r="C212" s="39" t="s">
        <v>866</v>
      </c>
      <c r="D212" s="51" t="s">
        <v>380</v>
      </c>
      <c r="E212" s="41">
        <v>3.0</v>
      </c>
      <c r="F212" s="42" t="s">
        <v>4</v>
      </c>
    </row>
    <row r="213" ht="22.5" customHeight="1">
      <c r="A213" s="45">
        <v>212.0</v>
      </c>
      <c r="B213" s="46">
        <v>382.0</v>
      </c>
      <c r="C213" s="47" t="s">
        <v>867</v>
      </c>
      <c r="D213" s="62" t="s">
        <v>380</v>
      </c>
      <c r="E213" s="49">
        <v>3.0</v>
      </c>
      <c r="F213" s="50" t="s">
        <v>4</v>
      </c>
    </row>
    <row r="214" ht="22.5" customHeight="1">
      <c r="A214" s="37">
        <v>213.0</v>
      </c>
      <c r="B214" s="38">
        <v>374.0</v>
      </c>
      <c r="C214" s="39" t="s">
        <v>868</v>
      </c>
      <c r="D214" s="51" t="s">
        <v>380</v>
      </c>
      <c r="E214" s="41">
        <v>3.0</v>
      </c>
      <c r="F214" s="42" t="s">
        <v>4</v>
      </c>
    </row>
    <row r="215" ht="22.5" customHeight="1">
      <c r="A215" s="45">
        <v>214.0</v>
      </c>
      <c r="B215" s="46">
        <v>368.0</v>
      </c>
      <c r="C215" s="47" t="s">
        <v>869</v>
      </c>
      <c r="D215" s="60" t="s">
        <v>195</v>
      </c>
      <c r="E215" s="49">
        <v>3.0</v>
      </c>
      <c r="F215" s="50" t="s">
        <v>4</v>
      </c>
    </row>
    <row r="216" ht="22.5" customHeight="1">
      <c r="A216" s="37">
        <v>215.0</v>
      </c>
      <c r="B216" s="38">
        <v>329.0</v>
      </c>
      <c r="C216" s="39" t="s">
        <v>870</v>
      </c>
      <c r="D216" s="61" t="s">
        <v>331</v>
      </c>
      <c r="E216" s="41">
        <v>3.0</v>
      </c>
      <c r="F216" s="42" t="s">
        <v>4</v>
      </c>
    </row>
    <row r="217" ht="22.5" customHeight="1">
      <c r="A217" s="45">
        <v>216.0</v>
      </c>
      <c r="B217" s="46">
        <v>361.0</v>
      </c>
      <c r="C217" s="47" t="s">
        <v>871</v>
      </c>
      <c r="D217" s="56" t="s">
        <v>450</v>
      </c>
      <c r="E217" s="49">
        <v>3.0</v>
      </c>
      <c r="F217" s="50" t="s">
        <v>4</v>
      </c>
    </row>
    <row r="218" ht="22.5" customHeight="1">
      <c r="A218" s="37">
        <v>217.0</v>
      </c>
      <c r="B218" s="38">
        <v>383.0</v>
      </c>
      <c r="C218" s="39" t="s">
        <v>872</v>
      </c>
      <c r="D218" s="52" t="s">
        <v>450</v>
      </c>
      <c r="E218" s="41">
        <v>3.0</v>
      </c>
      <c r="F218" s="42" t="s">
        <v>4</v>
      </c>
    </row>
    <row r="219" ht="22.5" customHeight="1">
      <c r="A219" s="45">
        <v>218.0</v>
      </c>
      <c r="B219" s="46">
        <v>364.0</v>
      </c>
      <c r="C219" s="47" t="s">
        <v>873</v>
      </c>
      <c r="D219" s="48" t="s">
        <v>331</v>
      </c>
      <c r="E219" s="49">
        <v>3.0</v>
      </c>
      <c r="F219" s="50" t="s">
        <v>4</v>
      </c>
    </row>
    <row r="220" ht="22.5" customHeight="1">
      <c r="A220" s="37">
        <v>219.0</v>
      </c>
      <c r="B220" s="38">
        <v>358.0</v>
      </c>
      <c r="C220" s="39" t="s">
        <v>874</v>
      </c>
      <c r="D220" s="52" t="s">
        <v>450</v>
      </c>
      <c r="E220" s="41">
        <v>3.0</v>
      </c>
      <c r="F220" s="42" t="s">
        <v>4</v>
      </c>
    </row>
    <row r="221" ht="22.5" customHeight="1">
      <c r="A221" s="45">
        <v>220.0</v>
      </c>
      <c r="B221" s="46">
        <v>373.0</v>
      </c>
      <c r="C221" s="47" t="s">
        <v>875</v>
      </c>
      <c r="D221" s="48" t="s">
        <v>331</v>
      </c>
      <c r="E221" s="49">
        <v>3.0</v>
      </c>
      <c r="F221" s="50" t="s">
        <v>4</v>
      </c>
    </row>
    <row r="222" ht="22.5" customHeight="1">
      <c r="A222" s="37">
        <v>221.0</v>
      </c>
      <c r="B222" s="38">
        <v>337.0</v>
      </c>
      <c r="C222" s="39" t="s">
        <v>876</v>
      </c>
      <c r="D222" s="51" t="s">
        <v>380</v>
      </c>
      <c r="E222" s="41">
        <v>3.0</v>
      </c>
      <c r="F222" s="42" t="s">
        <v>4</v>
      </c>
    </row>
    <row r="223" ht="22.5" customHeight="1">
      <c r="A223" s="45">
        <v>222.0</v>
      </c>
      <c r="B223" s="46">
        <v>332.0</v>
      </c>
      <c r="C223" s="47" t="s">
        <v>877</v>
      </c>
      <c r="D223" s="60" t="s">
        <v>195</v>
      </c>
      <c r="E223" s="49">
        <v>3.0</v>
      </c>
      <c r="F223" s="50" t="s">
        <v>4</v>
      </c>
    </row>
    <row r="224" ht="22.5" customHeight="1">
      <c r="A224" s="37">
        <v>223.0</v>
      </c>
      <c r="B224" s="38">
        <v>381.0</v>
      </c>
      <c r="C224" s="39" t="s">
        <v>878</v>
      </c>
      <c r="D224" s="52" t="s">
        <v>450</v>
      </c>
      <c r="E224" s="41">
        <v>3.0</v>
      </c>
      <c r="F224" s="42" t="s">
        <v>4</v>
      </c>
    </row>
    <row r="225" ht="22.5" customHeight="1">
      <c r="A225" s="45">
        <v>224.0</v>
      </c>
      <c r="B225" s="46">
        <v>366.0</v>
      </c>
      <c r="C225" s="47" t="s">
        <v>879</v>
      </c>
      <c r="D225" s="62" t="s">
        <v>380</v>
      </c>
      <c r="E225" s="49">
        <v>3.0</v>
      </c>
      <c r="F225" s="50" t="s">
        <v>4</v>
      </c>
    </row>
    <row r="226" ht="22.5" customHeight="1">
      <c r="A226" s="37">
        <v>225.0</v>
      </c>
      <c r="B226" s="38">
        <v>380.0</v>
      </c>
      <c r="C226" s="39" t="s">
        <v>880</v>
      </c>
      <c r="D226" s="51" t="s">
        <v>380</v>
      </c>
      <c r="E226" s="41">
        <v>3.0</v>
      </c>
      <c r="F226" s="42" t="s">
        <v>4</v>
      </c>
    </row>
    <row r="227" ht="22.5" customHeight="1">
      <c r="A227" s="45">
        <v>226.0</v>
      </c>
      <c r="B227" s="46">
        <v>384.0</v>
      </c>
      <c r="C227" s="47" t="s">
        <v>881</v>
      </c>
      <c r="D227" s="48" t="s">
        <v>331</v>
      </c>
      <c r="E227" s="49">
        <v>3.0</v>
      </c>
      <c r="F227" s="50" t="s">
        <v>4</v>
      </c>
    </row>
    <row r="228" ht="22.5" customHeight="1">
      <c r="A228" s="37">
        <v>227.0</v>
      </c>
      <c r="B228" s="38">
        <v>362.0</v>
      </c>
      <c r="C228" s="39" t="s">
        <v>882</v>
      </c>
      <c r="D228" s="40" t="s">
        <v>195</v>
      </c>
      <c r="E228" s="41">
        <v>3.0</v>
      </c>
      <c r="F228" s="42" t="s">
        <v>4</v>
      </c>
    </row>
    <row r="229" ht="22.5" customHeight="1">
      <c r="A229" s="45">
        <v>228.0</v>
      </c>
      <c r="B229" s="46">
        <v>378.0</v>
      </c>
      <c r="C229" s="47" t="s">
        <v>883</v>
      </c>
      <c r="D229" s="60" t="s">
        <v>195</v>
      </c>
      <c r="E229" s="49">
        <v>3.0</v>
      </c>
      <c r="F229" s="50" t="s">
        <v>4</v>
      </c>
    </row>
    <row r="230" ht="22.5" customHeight="1">
      <c r="A230" s="37">
        <v>229.0</v>
      </c>
      <c r="B230" s="38">
        <v>334.0</v>
      </c>
      <c r="C230" s="39" t="s">
        <v>884</v>
      </c>
      <c r="D230" s="52" t="s">
        <v>450</v>
      </c>
      <c r="E230" s="41">
        <v>3.0</v>
      </c>
      <c r="F230" s="42" t="s">
        <v>4</v>
      </c>
    </row>
    <row r="231" ht="22.5" customHeight="1">
      <c r="A231" s="45">
        <v>230.0</v>
      </c>
      <c r="B231" s="46">
        <v>359.0</v>
      </c>
      <c r="C231" s="47" t="s">
        <v>885</v>
      </c>
      <c r="D231" s="48" t="s">
        <v>331</v>
      </c>
      <c r="E231" s="49">
        <v>3.0</v>
      </c>
      <c r="F231" s="50" t="s">
        <v>4</v>
      </c>
    </row>
    <row r="232" ht="22.5" customHeight="1">
      <c r="A232" s="37">
        <v>231.0</v>
      </c>
      <c r="B232" s="38">
        <v>375.0</v>
      </c>
      <c r="C232" s="39" t="s">
        <v>886</v>
      </c>
      <c r="D232" s="52" t="s">
        <v>450</v>
      </c>
      <c r="E232" s="41">
        <v>3.0</v>
      </c>
      <c r="F232" s="42" t="s">
        <v>4</v>
      </c>
    </row>
    <row r="233" ht="22.5" customHeight="1">
      <c r="A233" s="45">
        <v>232.0</v>
      </c>
      <c r="B233" s="46">
        <v>369.0</v>
      </c>
      <c r="C233" s="47" t="s">
        <v>887</v>
      </c>
      <c r="D233" s="60" t="s">
        <v>195</v>
      </c>
      <c r="E233" s="49">
        <v>3.0</v>
      </c>
      <c r="F233" s="50" t="s">
        <v>4</v>
      </c>
    </row>
    <row r="234" ht="22.5" customHeight="1">
      <c r="A234" s="37">
        <v>233.0</v>
      </c>
      <c r="B234" s="38">
        <v>438.0</v>
      </c>
      <c r="C234" s="39" t="s">
        <v>888</v>
      </c>
      <c r="D234" s="51" t="s">
        <v>380</v>
      </c>
      <c r="E234" s="41">
        <v>3.0</v>
      </c>
      <c r="F234" s="42" t="s">
        <v>4</v>
      </c>
    </row>
    <row r="235" ht="22.5" customHeight="1">
      <c r="A235" s="45">
        <v>234.0</v>
      </c>
      <c r="B235" s="46">
        <v>413.0</v>
      </c>
      <c r="C235" s="47" t="s">
        <v>889</v>
      </c>
      <c r="D235" s="60" t="s">
        <v>195</v>
      </c>
      <c r="E235" s="49">
        <v>2.0</v>
      </c>
      <c r="F235" s="50" t="s">
        <v>4</v>
      </c>
    </row>
    <row r="236" ht="22.5" customHeight="1">
      <c r="A236" s="37">
        <v>235.0</v>
      </c>
      <c r="B236" s="38">
        <v>414.0</v>
      </c>
      <c r="C236" s="39" t="s">
        <v>890</v>
      </c>
      <c r="D236" s="52" t="s">
        <v>450</v>
      </c>
      <c r="E236" s="41">
        <v>2.0</v>
      </c>
      <c r="F236" s="42" t="s">
        <v>4</v>
      </c>
    </row>
    <row r="237" ht="22.5" customHeight="1">
      <c r="A237" s="45">
        <v>236.0</v>
      </c>
      <c r="B237" s="46">
        <v>416.0</v>
      </c>
      <c r="C237" s="47" t="s">
        <v>891</v>
      </c>
      <c r="D237" s="60" t="s">
        <v>195</v>
      </c>
      <c r="E237" s="49">
        <v>2.0</v>
      </c>
      <c r="F237" s="50" t="s">
        <v>4</v>
      </c>
    </row>
    <row r="238" ht="22.5" customHeight="1">
      <c r="A238" s="37">
        <v>237.0</v>
      </c>
      <c r="B238" s="38">
        <v>421.0</v>
      </c>
      <c r="C238" s="39" t="s">
        <v>892</v>
      </c>
      <c r="D238" s="61" t="s">
        <v>331</v>
      </c>
      <c r="E238" s="41">
        <v>2.0</v>
      </c>
      <c r="F238" s="42" t="s">
        <v>4</v>
      </c>
    </row>
    <row r="239" ht="22.5" customHeight="1">
      <c r="A239" s="45">
        <v>238.0</v>
      </c>
      <c r="B239" s="46">
        <v>420.0</v>
      </c>
      <c r="C239" s="47" t="s">
        <v>893</v>
      </c>
      <c r="D239" s="60" t="s">
        <v>195</v>
      </c>
      <c r="E239" s="49">
        <v>2.0</v>
      </c>
      <c r="F239" s="50" t="s">
        <v>4</v>
      </c>
    </row>
    <row r="240" ht="22.5" customHeight="1">
      <c r="A240" s="37">
        <v>239.0</v>
      </c>
      <c r="B240" s="38">
        <v>409.0</v>
      </c>
      <c r="C240" s="39" t="s">
        <v>894</v>
      </c>
      <c r="D240" s="40" t="s">
        <v>195</v>
      </c>
      <c r="E240" s="41">
        <v>2.0</v>
      </c>
      <c r="F240" s="42" t="s">
        <v>4</v>
      </c>
    </row>
    <row r="241" ht="22.5" customHeight="1">
      <c r="A241" s="45">
        <v>240.0</v>
      </c>
      <c r="B241" s="46">
        <v>428.0</v>
      </c>
      <c r="C241" s="47" t="s">
        <v>895</v>
      </c>
      <c r="D241" s="62" t="s">
        <v>380</v>
      </c>
      <c r="E241" s="49">
        <v>2.0</v>
      </c>
      <c r="F241" s="50" t="s">
        <v>4</v>
      </c>
    </row>
    <row r="242" ht="22.5" customHeight="1">
      <c r="A242" s="37">
        <v>241.0</v>
      </c>
      <c r="B242" s="38">
        <v>431.0</v>
      </c>
      <c r="C242" s="39" t="s">
        <v>896</v>
      </c>
      <c r="D242" s="51" t="s">
        <v>380</v>
      </c>
      <c r="E242" s="41">
        <v>2.0</v>
      </c>
      <c r="F242" s="42" t="s">
        <v>4</v>
      </c>
    </row>
    <row r="243" ht="22.5" customHeight="1">
      <c r="A243" s="45">
        <v>242.0</v>
      </c>
      <c r="B243" s="46">
        <v>385.0</v>
      </c>
      <c r="C243" s="47" t="s">
        <v>897</v>
      </c>
      <c r="D243" s="62" t="s">
        <v>380</v>
      </c>
      <c r="E243" s="49">
        <v>2.0</v>
      </c>
      <c r="F243" s="50" t="s">
        <v>4</v>
      </c>
    </row>
    <row r="244" ht="22.5" customHeight="1">
      <c r="A244" s="37">
        <v>243.0</v>
      </c>
      <c r="B244" s="38">
        <v>408.0</v>
      </c>
      <c r="C244" s="39" t="s">
        <v>898</v>
      </c>
      <c r="D244" s="40" t="s">
        <v>195</v>
      </c>
      <c r="E244" s="41">
        <v>2.0</v>
      </c>
      <c r="F244" s="42" t="s">
        <v>4</v>
      </c>
    </row>
    <row r="245" ht="22.5" customHeight="1">
      <c r="A245" s="45">
        <v>244.0</v>
      </c>
      <c r="B245" s="46">
        <v>406.0</v>
      </c>
      <c r="C245" s="47" t="s">
        <v>899</v>
      </c>
      <c r="D245" s="48" t="s">
        <v>331</v>
      </c>
      <c r="E245" s="49">
        <v>2.0</v>
      </c>
      <c r="F245" s="50" t="s">
        <v>4</v>
      </c>
    </row>
    <row r="246" ht="22.5" customHeight="1">
      <c r="A246" s="37">
        <v>245.0</v>
      </c>
      <c r="B246" s="38">
        <v>415.0</v>
      </c>
      <c r="C246" s="39" t="s">
        <v>900</v>
      </c>
      <c r="D246" s="40" t="s">
        <v>195</v>
      </c>
      <c r="E246" s="41">
        <v>2.0</v>
      </c>
      <c r="F246" s="42" t="s">
        <v>4</v>
      </c>
    </row>
    <row r="247" ht="22.5" customHeight="1">
      <c r="A247" s="45">
        <v>246.0</v>
      </c>
      <c r="B247" s="46">
        <v>410.0</v>
      </c>
      <c r="C247" s="47" t="s">
        <v>901</v>
      </c>
      <c r="D247" s="48" t="s">
        <v>331</v>
      </c>
      <c r="E247" s="49">
        <v>2.0</v>
      </c>
      <c r="F247" s="50" t="s">
        <v>4</v>
      </c>
    </row>
    <row r="248" ht="22.5" customHeight="1">
      <c r="A248" s="37">
        <v>247.0</v>
      </c>
      <c r="B248" s="38">
        <v>422.0</v>
      </c>
      <c r="C248" s="39" t="s">
        <v>902</v>
      </c>
      <c r="D248" s="61" t="s">
        <v>331</v>
      </c>
      <c r="E248" s="41">
        <v>2.0</v>
      </c>
      <c r="F248" s="42" t="s">
        <v>4</v>
      </c>
    </row>
    <row r="249" ht="22.5" customHeight="1">
      <c r="A249" s="45">
        <v>248.0</v>
      </c>
      <c r="B249" s="46">
        <v>432.0</v>
      </c>
      <c r="C249" s="47" t="s">
        <v>903</v>
      </c>
      <c r="D249" s="48" t="s">
        <v>331</v>
      </c>
      <c r="E249" s="49">
        <v>2.0</v>
      </c>
      <c r="F249" s="50" t="s">
        <v>4</v>
      </c>
    </row>
    <row r="250" ht="22.5" customHeight="1">
      <c r="A250" s="37">
        <v>249.0</v>
      </c>
      <c r="B250" s="38">
        <v>434.0</v>
      </c>
      <c r="C250" s="39" t="s">
        <v>904</v>
      </c>
      <c r="D250" s="52" t="s">
        <v>450</v>
      </c>
      <c r="E250" s="41">
        <v>2.0</v>
      </c>
      <c r="F250" s="42" t="s">
        <v>4</v>
      </c>
    </row>
    <row r="251" ht="22.5" customHeight="1">
      <c r="A251" s="45">
        <v>250.0</v>
      </c>
      <c r="B251" s="46">
        <v>412.0</v>
      </c>
      <c r="C251" s="47" t="s">
        <v>905</v>
      </c>
      <c r="D251" s="60" t="s">
        <v>195</v>
      </c>
      <c r="E251" s="49">
        <v>2.0</v>
      </c>
      <c r="F251" s="50" t="s">
        <v>4</v>
      </c>
    </row>
    <row r="252" ht="22.5" customHeight="1">
      <c r="A252" s="37">
        <v>251.0</v>
      </c>
      <c r="B252" s="38">
        <v>411.0</v>
      </c>
      <c r="C252" s="39" t="s">
        <v>906</v>
      </c>
      <c r="D252" s="40" t="s">
        <v>195</v>
      </c>
      <c r="E252" s="41">
        <v>2.0</v>
      </c>
      <c r="F252" s="42" t="s">
        <v>4</v>
      </c>
    </row>
    <row r="253" ht="22.5" customHeight="1">
      <c r="A253" s="45">
        <v>252.0</v>
      </c>
      <c r="B253" s="46">
        <v>407.0</v>
      </c>
      <c r="C253" s="47" t="s">
        <v>907</v>
      </c>
      <c r="D253" s="62" t="s">
        <v>380</v>
      </c>
      <c r="E253" s="49">
        <v>2.0</v>
      </c>
      <c r="F253" s="50" t="s">
        <v>4</v>
      </c>
    </row>
    <row r="254" ht="22.5" customHeight="1">
      <c r="A254" s="37">
        <v>253.0</v>
      </c>
      <c r="B254" s="38">
        <v>427.0</v>
      </c>
      <c r="C254" s="39" t="s">
        <v>908</v>
      </c>
      <c r="D254" s="52" t="s">
        <v>450</v>
      </c>
      <c r="E254" s="41">
        <v>2.0</v>
      </c>
      <c r="F254" s="42" t="s">
        <v>4</v>
      </c>
    </row>
    <row r="255" ht="22.5" customHeight="1">
      <c r="A255" s="45">
        <v>254.0</v>
      </c>
      <c r="B255" s="46">
        <v>424.0</v>
      </c>
      <c r="C255" s="47" t="s">
        <v>909</v>
      </c>
      <c r="D255" s="48" t="s">
        <v>331</v>
      </c>
      <c r="E255" s="49">
        <v>2.0</v>
      </c>
      <c r="F255" s="50" t="s">
        <v>4</v>
      </c>
    </row>
    <row r="256" ht="22.5" customHeight="1">
      <c r="A256" s="37">
        <v>255.0</v>
      </c>
      <c r="B256" s="38">
        <v>367.0</v>
      </c>
      <c r="C256" s="39" t="s">
        <v>910</v>
      </c>
      <c r="D256" s="51" t="s">
        <v>380</v>
      </c>
      <c r="E256" s="41">
        <v>2.0</v>
      </c>
      <c r="F256" s="42" t="s">
        <v>4</v>
      </c>
    </row>
    <row r="257" ht="22.5" customHeight="1">
      <c r="A257" s="45">
        <v>256.0</v>
      </c>
      <c r="B257" s="46">
        <v>417.0</v>
      </c>
      <c r="C257" s="47" t="s">
        <v>911</v>
      </c>
      <c r="D257" s="56" t="s">
        <v>450</v>
      </c>
      <c r="E257" s="49">
        <v>2.0</v>
      </c>
      <c r="F257" s="50" t="s">
        <v>4</v>
      </c>
    </row>
    <row r="258" ht="22.5" customHeight="1">
      <c r="A258" s="37">
        <v>257.0</v>
      </c>
      <c r="B258" s="38">
        <v>433.0</v>
      </c>
      <c r="C258" s="39" t="s">
        <v>912</v>
      </c>
      <c r="D258" s="51" t="s">
        <v>380</v>
      </c>
      <c r="E258" s="41">
        <v>2.0</v>
      </c>
      <c r="F258" s="42" t="s">
        <v>4</v>
      </c>
    </row>
    <row r="259" ht="22.5" customHeight="1">
      <c r="A259" s="45">
        <v>258.0</v>
      </c>
      <c r="B259" s="46">
        <v>423.0</v>
      </c>
      <c r="C259" s="47" t="s">
        <v>913</v>
      </c>
      <c r="D259" s="62" t="s">
        <v>380</v>
      </c>
      <c r="E259" s="49">
        <v>2.0</v>
      </c>
      <c r="F259" s="50" t="s">
        <v>4</v>
      </c>
    </row>
    <row r="260" ht="22.5" customHeight="1">
      <c r="A260" s="37">
        <v>259.0</v>
      </c>
      <c r="B260" s="38">
        <v>426.0</v>
      </c>
      <c r="C260" s="39" t="s">
        <v>914</v>
      </c>
      <c r="D260" s="51" t="s">
        <v>380</v>
      </c>
      <c r="E260" s="41">
        <v>2.0</v>
      </c>
      <c r="F260" s="42" t="s">
        <v>4</v>
      </c>
    </row>
    <row r="261" ht="22.5" customHeight="1">
      <c r="A261" s="45">
        <v>260.0</v>
      </c>
      <c r="B261" s="46">
        <v>418.0</v>
      </c>
      <c r="C261" s="47" t="s">
        <v>915</v>
      </c>
      <c r="D261" s="56" t="s">
        <v>450</v>
      </c>
      <c r="E261" s="49">
        <v>2.0</v>
      </c>
      <c r="F261" s="50" t="s">
        <v>4</v>
      </c>
    </row>
    <row r="262" ht="22.5" customHeight="1">
      <c r="A262" s="37">
        <v>261.0</v>
      </c>
      <c r="B262" s="38">
        <v>425.0</v>
      </c>
      <c r="C262" s="39" t="s">
        <v>916</v>
      </c>
      <c r="D262" s="52" t="s">
        <v>450</v>
      </c>
      <c r="E262" s="41">
        <v>2.0</v>
      </c>
      <c r="F262" s="42" t="s">
        <v>4</v>
      </c>
    </row>
    <row r="263" ht="22.5" customHeight="1">
      <c r="A263" s="45">
        <v>262.0</v>
      </c>
      <c r="B263" s="46">
        <v>429.0</v>
      </c>
      <c r="C263" s="47" t="s">
        <v>917</v>
      </c>
      <c r="D263" s="56" t="s">
        <v>450</v>
      </c>
      <c r="E263" s="49">
        <v>2.0</v>
      </c>
      <c r="F263" s="50" t="s">
        <v>4</v>
      </c>
    </row>
    <row r="264" ht="22.5" customHeight="1">
      <c r="A264" s="37">
        <v>263.0</v>
      </c>
      <c r="B264" s="38">
        <v>430.0</v>
      </c>
      <c r="C264" s="39" t="s">
        <v>918</v>
      </c>
      <c r="D264" s="61" t="s">
        <v>331</v>
      </c>
      <c r="E264" s="41">
        <v>2.0</v>
      </c>
      <c r="F264" s="42" t="s">
        <v>4</v>
      </c>
    </row>
    <row r="265" ht="22.5" customHeight="1">
      <c r="A265" s="45">
        <v>264.0</v>
      </c>
      <c r="B265" s="46">
        <v>451.0</v>
      </c>
      <c r="C265" s="47" t="s">
        <v>919</v>
      </c>
      <c r="D265" s="48" t="s">
        <v>331</v>
      </c>
      <c r="E265" s="49">
        <v>2.0</v>
      </c>
      <c r="F265" s="50" t="s">
        <v>4</v>
      </c>
    </row>
    <row r="266" ht="22.5" customHeight="1">
      <c r="A266" s="37">
        <v>265.0</v>
      </c>
      <c r="B266" s="37">
        <v>459.0</v>
      </c>
      <c r="C266" s="39" t="s">
        <v>920</v>
      </c>
      <c r="D266" s="51" t="s">
        <v>380</v>
      </c>
      <c r="E266" s="41">
        <v>1.0</v>
      </c>
      <c r="F266" s="42" t="s">
        <v>2</v>
      </c>
    </row>
    <row r="267" ht="22.5" customHeight="1">
      <c r="A267" s="45">
        <v>266.0</v>
      </c>
      <c r="B267" s="45">
        <v>460.0</v>
      </c>
      <c r="C267" s="47" t="s">
        <v>921</v>
      </c>
      <c r="D267" s="48" t="s">
        <v>331</v>
      </c>
      <c r="E267" s="49">
        <v>1.0</v>
      </c>
      <c r="F267" s="50" t="s">
        <v>2</v>
      </c>
    </row>
    <row r="268" ht="22.5" customHeight="1">
      <c r="A268" s="37">
        <v>267.0</v>
      </c>
      <c r="B268" s="37">
        <v>461.0</v>
      </c>
      <c r="C268" s="39" t="s">
        <v>922</v>
      </c>
      <c r="D268" s="61" t="s">
        <v>331</v>
      </c>
      <c r="E268" s="41">
        <v>1.0</v>
      </c>
      <c r="F268" s="42" t="s">
        <v>2</v>
      </c>
    </row>
    <row r="269" ht="22.5" customHeight="1">
      <c r="A269" s="45">
        <v>268.0</v>
      </c>
      <c r="B269" s="45">
        <v>462.0</v>
      </c>
      <c r="C269" s="47" t="s">
        <v>923</v>
      </c>
      <c r="D269" s="56" t="s">
        <v>450</v>
      </c>
      <c r="E269" s="49">
        <v>1.0</v>
      </c>
      <c r="F269" s="50" t="s">
        <v>2</v>
      </c>
    </row>
    <row r="270" ht="22.5" customHeight="1">
      <c r="A270" s="37">
        <v>269.0</v>
      </c>
      <c r="B270" s="37">
        <v>463.0</v>
      </c>
      <c r="C270" s="39" t="s">
        <v>924</v>
      </c>
      <c r="D270" s="61" t="s">
        <v>331</v>
      </c>
      <c r="E270" s="41">
        <v>1.0</v>
      </c>
      <c r="F270" s="42" t="s">
        <v>2</v>
      </c>
    </row>
    <row r="271" ht="22.5" customHeight="1">
      <c r="A271" s="45">
        <v>270.0</v>
      </c>
      <c r="B271" s="45">
        <v>464.0</v>
      </c>
      <c r="C271" s="47" t="s">
        <v>925</v>
      </c>
      <c r="D271" s="62" t="s">
        <v>380</v>
      </c>
      <c r="E271" s="49">
        <v>1.0</v>
      </c>
      <c r="F271" s="50" t="s">
        <v>2</v>
      </c>
    </row>
    <row r="272" ht="22.5" customHeight="1">
      <c r="A272" s="37">
        <v>271.0</v>
      </c>
      <c r="B272" s="37">
        <v>465.0</v>
      </c>
      <c r="C272" s="39" t="s">
        <v>926</v>
      </c>
      <c r="D272" s="61" t="s">
        <v>331</v>
      </c>
      <c r="E272" s="41">
        <v>1.0</v>
      </c>
      <c r="F272" s="42" t="s">
        <v>2</v>
      </c>
    </row>
    <row r="273" ht="22.5" customHeight="1">
      <c r="A273" s="45">
        <v>272.0</v>
      </c>
      <c r="B273" s="45">
        <v>466.0</v>
      </c>
      <c r="C273" s="47" t="s">
        <v>927</v>
      </c>
      <c r="D273" s="62" t="s">
        <v>380</v>
      </c>
      <c r="E273" s="49">
        <v>1.0</v>
      </c>
      <c r="F273" s="50" t="s">
        <v>2</v>
      </c>
    </row>
    <row r="274" ht="22.5" customHeight="1">
      <c r="A274" s="37">
        <v>273.0</v>
      </c>
      <c r="B274" s="37">
        <v>467.0</v>
      </c>
      <c r="C274" s="39" t="s">
        <v>928</v>
      </c>
      <c r="D274" s="52" t="s">
        <v>450</v>
      </c>
      <c r="E274" s="41">
        <v>1.0</v>
      </c>
      <c r="F274" s="42" t="s">
        <v>2</v>
      </c>
    </row>
    <row r="275" ht="22.5" customHeight="1">
      <c r="A275" s="45">
        <v>274.0</v>
      </c>
      <c r="B275" s="45">
        <v>468.0</v>
      </c>
      <c r="C275" s="47" t="s">
        <v>929</v>
      </c>
      <c r="D275" s="62" t="s">
        <v>380</v>
      </c>
      <c r="E275" s="49">
        <v>1.0</v>
      </c>
      <c r="F275" s="50" t="s">
        <v>2</v>
      </c>
    </row>
    <row r="276" ht="22.5" customHeight="1">
      <c r="A276" s="37">
        <v>275.0</v>
      </c>
      <c r="B276" s="37">
        <v>469.0</v>
      </c>
      <c r="C276" s="39" t="s">
        <v>930</v>
      </c>
      <c r="D276" s="52" t="s">
        <v>450</v>
      </c>
      <c r="E276" s="41">
        <v>1.0</v>
      </c>
      <c r="F276" s="42" t="s">
        <v>2</v>
      </c>
    </row>
    <row r="277" ht="22.5" customHeight="1">
      <c r="A277" s="45">
        <v>276.0</v>
      </c>
      <c r="B277" s="45">
        <v>470.0</v>
      </c>
      <c r="C277" s="47" t="s">
        <v>931</v>
      </c>
      <c r="D277" s="60" t="s">
        <v>195</v>
      </c>
      <c r="E277" s="49">
        <v>1.0</v>
      </c>
      <c r="F277" s="50" t="s">
        <v>2</v>
      </c>
    </row>
    <row r="278" ht="22.5" customHeight="1">
      <c r="A278" s="37">
        <v>277.0</v>
      </c>
      <c r="B278" s="37">
        <v>471.0</v>
      </c>
      <c r="C278" s="39" t="s">
        <v>932</v>
      </c>
      <c r="D278" s="51" t="s">
        <v>380</v>
      </c>
      <c r="E278" s="41">
        <v>1.0</v>
      </c>
      <c r="F278" s="42" t="s">
        <v>2</v>
      </c>
    </row>
    <row r="279" ht="22.5" customHeight="1">
      <c r="A279" s="45">
        <v>278.0</v>
      </c>
      <c r="B279" s="45">
        <v>472.0</v>
      </c>
      <c r="C279" s="47" t="s">
        <v>933</v>
      </c>
      <c r="D279" s="62" t="s">
        <v>380</v>
      </c>
      <c r="E279" s="49">
        <v>1.0</v>
      </c>
      <c r="F279" s="50" t="s">
        <v>2</v>
      </c>
    </row>
    <row r="280" ht="22.5" customHeight="1">
      <c r="A280" s="37">
        <v>279.0</v>
      </c>
      <c r="B280" s="37">
        <v>473.0</v>
      </c>
      <c r="C280" s="39" t="s">
        <v>934</v>
      </c>
      <c r="D280" s="61" t="s">
        <v>331</v>
      </c>
      <c r="E280" s="41">
        <v>1.0</v>
      </c>
      <c r="F280" s="42" t="s">
        <v>2</v>
      </c>
    </row>
    <row r="281" ht="22.5" customHeight="1">
      <c r="A281" s="45">
        <v>280.0</v>
      </c>
      <c r="B281" s="45">
        <v>474.0</v>
      </c>
      <c r="C281" s="47" t="s">
        <v>935</v>
      </c>
      <c r="D281" s="60" t="s">
        <v>195</v>
      </c>
      <c r="E281" s="49">
        <v>1.0</v>
      </c>
      <c r="F281" s="50" t="s">
        <v>2</v>
      </c>
    </row>
    <row r="282" ht="22.5" customHeight="1">
      <c r="A282" s="37">
        <v>281.0</v>
      </c>
      <c r="B282" s="37">
        <v>475.0</v>
      </c>
      <c r="C282" s="39" t="s">
        <v>936</v>
      </c>
      <c r="D282" s="52" t="s">
        <v>450</v>
      </c>
      <c r="E282" s="41">
        <v>1.0</v>
      </c>
      <c r="F282" s="42" t="s">
        <v>2</v>
      </c>
    </row>
    <row r="283" ht="22.5" customHeight="1">
      <c r="A283" s="45">
        <v>282.0</v>
      </c>
      <c r="B283" s="45">
        <v>476.0</v>
      </c>
      <c r="C283" s="47" t="s">
        <v>937</v>
      </c>
      <c r="D283" s="56" t="s">
        <v>450</v>
      </c>
      <c r="E283" s="49">
        <v>1.0</v>
      </c>
      <c r="F283" s="50" t="s">
        <v>2</v>
      </c>
    </row>
    <row r="284" ht="22.5" customHeight="1">
      <c r="A284" s="37">
        <v>283.0</v>
      </c>
      <c r="B284" s="37">
        <v>477.0</v>
      </c>
      <c r="C284" s="39" t="s">
        <v>938</v>
      </c>
      <c r="D284" s="52" t="s">
        <v>450</v>
      </c>
      <c r="E284" s="41">
        <v>1.0</v>
      </c>
      <c r="F284" s="42" t="s">
        <v>2</v>
      </c>
    </row>
    <row r="285" ht="22.5" customHeight="1">
      <c r="A285" s="45">
        <v>284.0</v>
      </c>
      <c r="B285" s="45">
        <v>478.0</v>
      </c>
      <c r="C285" s="47" t="s">
        <v>939</v>
      </c>
      <c r="D285" s="60" t="s">
        <v>195</v>
      </c>
      <c r="E285" s="49">
        <v>1.0</v>
      </c>
      <c r="F285" s="50" t="s">
        <v>2</v>
      </c>
    </row>
    <row r="286" ht="22.5" customHeight="1">
      <c r="A286" s="37">
        <v>285.0</v>
      </c>
      <c r="B286" s="37">
        <v>479.0</v>
      </c>
      <c r="C286" s="39" t="s">
        <v>940</v>
      </c>
      <c r="D286" s="61" t="s">
        <v>331</v>
      </c>
      <c r="E286" s="41">
        <v>1.0</v>
      </c>
      <c r="F286" s="42" t="s">
        <v>2</v>
      </c>
    </row>
    <row r="287" ht="22.5" customHeight="1">
      <c r="A287" s="45">
        <v>286.0</v>
      </c>
      <c r="B287" s="45">
        <v>480.0</v>
      </c>
      <c r="C287" s="47" t="s">
        <v>941</v>
      </c>
      <c r="D287" s="60" t="s">
        <v>195</v>
      </c>
      <c r="E287" s="49">
        <v>1.0</v>
      </c>
      <c r="F287" s="50" t="s">
        <v>2</v>
      </c>
    </row>
    <row r="288" ht="22.5" customHeight="1">
      <c r="A288" s="37">
        <v>287.0</v>
      </c>
      <c r="B288" s="37">
        <v>481.0</v>
      </c>
      <c r="C288" s="39" t="s">
        <v>942</v>
      </c>
      <c r="D288" s="52" t="s">
        <v>450</v>
      </c>
      <c r="E288" s="41">
        <v>1.0</v>
      </c>
      <c r="F288" s="42" t="s">
        <v>2</v>
      </c>
    </row>
    <row r="289" ht="22.5" customHeight="1">
      <c r="A289" s="45">
        <v>288.0</v>
      </c>
      <c r="B289" s="45">
        <v>482.0</v>
      </c>
      <c r="C289" s="47" t="s">
        <v>943</v>
      </c>
      <c r="D289" s="56" t="s">
        <v>450</v>
      </c>
      <c r="E289" s="49">
        <v>1.0</v>
      </c>
      <c r="F289" s="50" t="s">
        <v>2</v>
      </c>
    </row>
    <row r="290" ht="22.5" customHeight="1">
      <c r="A290" s="37">
        <v>289.0</v>
      </c>
      <c r="B290" s="37">
        <v>483.0</v>
      </c>
      <c r="C290" s="39" t="s">
        <v>944</v>
      </c>
      <c r="D290" s="40" t="s">
        <v>195</v>
      </c>
      <c r="E290" s="41">
        <v>1.0</v>
      </c>
      <c r="F290" s="42" t="s">
        <v>2</v>
      </c>
    </row>
    <row r="291" ht="22.5" customHeight="1">
      <c r="A291" s="45">
        <v>290.0</v>
      </c>
      <c r="B291" s="45">
        <v>484.0</v>
      </c>
      <c r="C291" s="47" t="s">
        <v>945</v>
      </c>
      <c r="D291" s="48" t="s">
        <v>331</v>
      </c>
      <c r="E291" s="49">
        <v>1.0</v>
      </c>
      <c r="F291" s="50" t="s">
        <v>2</v>
      </c>
    </row>
    <row r="292" ht="22.5" customHeight="1">
      <c r="A292" s="37">
        <v>291.0</v>
      </c>
      <c r="B292" s="37">
        <v>485.0</v>
      </c>
      <c r="C292" s="39" t="s">
        <v>946</v>
      </c>
      <c r="D292" s="51" t="s">
        <v>380</v>
      </c>
      <c r="E292" s="41">
        <v>1.0</v>
      </c>
      <c r="F292" s="42" t="s">
        <v>2</v>
      </c>
    </row>
    <row r="293" ht="22.5" customHeight="1">
      <c r="A293" s="45">
        <v>292.0</v>
      </c>
      <c r="B293" s="45">
        <v>486.0</v>
      </c>
      <c r="C293" s="47" t="s">
        <v>947</v>
      </c>
      <c r="D293" s="60" t="s">
        <v>195</v>
      </c>
      <c r="E293" s="49">
        <v>1.0</v>
      </c>
      <c r="F293" s="50" t="s">
        <v>2</v>
      </c>
    </row>
    <row r="294" ht="22.5" customHeight="1">
      <c r="A294" s="37">
        <v>293.0</v>
      </c>
      <c r="B294" s="37">
        <v>487.0</v>
      </c>
      <c r="C294" s="39" t="s">
        <v>948</v>
      </c>
      <c r="D294" s="40" t="s">
        <v>195</v>
      </c>
      <c r="E294" s="94">
        <v>1.0</v>
      </c>
      <c r="F294" s="95" t="s">
        <v>2</v>
      </c>
    </row>
  </sheetData>
  <dataValidations>
    <dataValidation type="list" allowBlank="1" sqref="F2:F294">
      <formula1>"ʿĀLIYAH,THĀNAWIYYAH,THĀNIYAH,ʾŪLĀ,BIDĀYAH,COORDINATOR"</formula1>
    </dataValidation>
    <dataValidation type="list" allowBlank="1" showErrorMessage="1" sqref="D2:D294">
      <formula1>"TEAM A,TEAM B,TEAM C,TEAM D,COORDINATOR"</formula1>
    </dataValidation>
    <dataValidation type="custom" allowBlank="1" showDropDown="1" sqref="A2:B294 E2:E294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5"/>
    </row>
    <row r="2">
      <c r="A2" s="7" t="s">
        <v>2</v>
      </c>
      <c r="B2" s="3"/>
      <c r="C2" s="5"/>
      <c r="D2" s="10" t="s">
        <v>6</v>
      </c>
      <c r="E2" s="3"/>
      <c r="F2" s="5"/>
      <c r="G2" s="13" t="s">
        <v>5</v>
      </c>
      <c r="H2" s="3"/>
      <c r="I2" s="5"/>
      <c r="J2" s="16" t="s">
        <v>7</v>
      </c>
      <c r="K2" s="3"/>
      <c r="L2" s="5"/>
      <c r="M2" s="19" t="s">
        <v>8</v>
      </c>
      <c r="N2" s="3"/>
      <c r="O2" s="5"/>
      <c r="P2" s="21" t="s">
        <v>9</v>
      </c>
      <c r="Q2" s="3"/>
      <c r="R2" s="5"/>
    </row>
    <row r="3">
      <c r="A3" s="23" t="s">
        <v>10</v>
      </c>
      <c r="B3" s="24" t="s">
        <v>11</v>
      </c>
      <c r="C3" s="24" t="s">
        <v>12</v>
      </c>
      <c r="D3" s="24" t="s">
        <v>10</v>
      </c>
      <c r="E3" s="24" t="s">
        <v>11</v>
      </c>
      <c r="F3" s="24" t="s">
        <v>12</v>
      </c>
      <c r="G3" s="24" t="s">
        <v>10</v>
      </c>
      <c r="H3" s="24" t="s">
        <v>11</v>
      </c>
      <c r="I3" s="24" t="s">
        <v>12</v>
      </c>
      <c r="J3" s="24" t="s">
        <v>10</v>
      </c>
      <c r="K3" s="24" t="s">
        <v>11</v>
      </c>
      <c r="L3" s="24" t="s">
        <v>12</v>
      </c>
      <c r="M3" s="24" t="s">
        <v>10</v>
      </c>
      <c r="N3" s="24" t="s">
        <v>11</v>
      </c>
      <c r="O3" s="24" t="s">
        <v>12</v>
      </c>
      <c r="P3" s="24" t="s">
        <v>10</v>
      </c>
      <c r="Q3" s="24" t="s">
        <v>11</v>
      </c>
      <c r="R3" s="24" t="s">
        <v>12</v>
      </c>
    </row>
    <row r="4">
      <c r="A4" s="28" t="s">
        <v>15</v>
      </c>
      <c r="B4" s="30" t="s">
        <v>16</v>
      </c>
      <c r="C4" s="31">
        <v>2.0</v>
      </c>
      <c r="D4" s="28" t="s">
        <v>23</v>
      </c>
      <c r="E4" s="30" t="s">
        <v>16</v>
      </c>
      <c r="F4" s="31">
        <v>2.0</v>
      </c>
      <c r="G4" s="28" t="s">
        <v>26</v>
      </c>
      <c r="H4" s="30" t="s">
        <v>28</v>
      </c>
      <c r="I4" s="31">
        <v>2.0</v>
      </c>
      <c r="J4" s="28" t="s">
        <v>31</v>
      </c>
      <c r="K4" s="30" t="s">
        <v>28</v>
      </c>
      <c r="L4" s="31">
        <v>2.0</v>
      </c>
      <c r="M4" s="28" t="s">
        <v>34</v>
      </c>
      <c r="N4" s="30" t="s">
        <v>36</v>
      </c>
      <c r="O4" s="31">
        <v>2.0</v>
      </c>
      <c r="P4" s="28" t="s">
        <v>37</v>
      </c>
      <c r="Q4" s="30" t="s">
        <v>40</v>
      </c>
      <c r="R4" s="31" t="s">
        <v>42</v>
      </c>
    </row>
    <row r="5">
      <c r="A5" s="28" t="s">
        <v>44</v>
      </c>
      <c r="B5" s="30" t="s">
        <v>45</v>
      </c>
      <c r="C5" s="31">
        <v>2.0</v>
      </c>
      <c r="D5" s="28" t="s">
        <v>48</v>
      </c>
      <c r="E5" s="30" t="s">
        <v>45</v>
      </c>
      <c r="F5" s="31">
        <v>2.0</v>
      </c>
      <c r="G5" s="28" t="s">
        <v>51</v>
      </c>
      <c r="H5" s="30" t="s">
        <v>45</v>
      </c>
      <c r="I5" s="31">
        <v>2.0</v>
      </c>
      <c r="J5" s="28" t="s">
        <v>54</v>
      </c>
      <c r="K5" s="30" t="s">
        <v>45</v>
      </c>
      <c r="L5" s="31">
        <v>2.0</v>
      </c>
      <c r="M5" s="28" t="s">
        <v>57</v>
      </c>
      <c r="N5" s="30" t="s">
        <v>45</v>
      </c>
      <c r="O5" s="31">
        <v>2.0</v>
      </c>
      <c r="P5" s="28" t="s">
        <v>60</v>
      </c>
      <c r="Q5" s="30" t="s">
        <v>62</v>
      </c>
      <c r="R5" s="31" t="s">
        <v>63</v>
      </c>
    </row>
    <row r="6">
      <c r="A6" s="28" t="s">
        <v>66</v>
      </c>
      <c r="B6" s="30" t="s">
        <v>67</v>
      </c>
      <c r="C6" s="31">
        <v>2.0</v>
      </c>
      <c r="D6" s="28" t="s">
        <v>70</v>
      </c>
      <c r="E6" s="30" t="s">
        <v>67</v>
      </c>
      <c r="F6" s="31">
        <v>2.0</v>
      </c>
      <c r="G6" s="28" t="s">
        <v>72</v>
      </c>
      <c r="H6" s="30" t="s">
        <v>67</v>
      </c>
      <c r="I6" s="31">
        <v>2.0</v>
      </c>
      <c r="J6" s="28" t="s">
        <v>73</v>
      </c>
      <c r="K6" s="30" t="s">
        <v>67</v>
      </c>
      <c r="L6" s="31">
        <v>2.0</v>
      </c>
      <c r="M6" s="28" t="s">
        <v>74</v>
      </c>
      <c r="N6" s="30" t="s">
        <v>67</v>
      </c>
      <c r="O6" s="31">
        <v>2.0</v>
      </c>
      <c r="P6" s="28" t="s">
        <v>75</v>
      </c>
      <c r="Q6" s="30" t="s">
        <v>76</v>
      </c>
      <c r="R6" s="31" t="s">
        <v>78</v>
      </c>
    </row>
    <row r="7">
      <c r="A7" s="28" t="s">
        <v>80</v>
      </c>
      <c r="B7" s="30" t="s">
        <v>82</v>
      </c>
      <c r="C7" s="31">
        <v>2.0</v>
      </c>
      <c r="D7" s="28" t="s">
        <v>83</v>
      </c>
      <c r="E7" s="30" t="s">
        <v>85</v>
      </c>
      <c r="F7" s="31">
        <v>2.0</v>
      </c>
      <c r="G7" s="28" t="s">
        <v>87</v>
      </c>
      <c r="H7" s="30" t="s">
        <v>85</v>
      </c>
      <c r="I7" s="31">
        <v>2.0</v>
      </c>
      <c r="J7" s="28" t="s">
        <v>90</v>
      </c>
      <c r="K7" s="30" t="s">
        <v>92</v>
      </c>
      <c r="L7" s="31">
        <v>2.0</v>
      </c>
      <c r="M7" s="28" t="s">
        <v>95</v>
      </c>
      <c r="N7" s="30" t="s">
        <v>92</v>
      </c>
      <c r="O7" s="31">
        <v>2.0</v>
      </c>
      <c r="P7" s="28" t="s">
        <v>99</v>
      </c>
      <c r="Q7" s="30" t="s">
        <v>100</v>
      </c>
      <c r="R7" s="31">
        <v>1.0</v>
      </c>
    </row>
    <row r="8">
      <c r="A8" s="28" t="s">
        <v>102</v>
      </c>
      <c r="B8" s="30" t="s">
        <v>104</v>
      </c>
      <c r="C8" s="31">
        <v>2.0</v>
      </c>
      <c r="D8" s="28" t="s">
        <v>105</v>
      </c>
      <c r="E8" s="30" t="s">
        <v>82</v>
      </c>
      <c r="F8" s="31">
        <v>2.0</v>
      </c>
      <c r="G8" s="28" t="s">
        <v>109</v>
      </c>
      <c r="H8" s="30" t="s">
        <v>92</v>
      </c>
      <c r="I8" s="31">
        <v>2.0</v>
      </c>
      <c r="J8" s="28" t="s">
        <v>113</v>
      </c>
      <c r="K8" s="30" t="s">
        <v>115</v>
      </c>
      <c r="L8" s="31">
        <v>2.0</v>
      </c>
      <c r="M8" s="28" t="s">
        <v>118</v>
      </c>
      <c r="N8" s="30" t="s">
        <v>115</v>
      </c>
      <c r="O8" s="31">
        <v>2.0</v>
      </c>
      <c r="P8" s="30"/>
      <c r="Q8" s="30"/>
      <c r="R8" s="30"/>
    </row>
    <row r="9">
      <c r="A9" s="28" t="s">
        <v>123</v>
      </c>
      <c r="B9" s="30" t="s">
        <v>92</v>
      </c>
      <c r="C9" s="31">
        <v>2.0</v>
      </c>
      <c r="D9" s="28" t="s">
        <v>126</v>
      </c>
      <c r="E9" s="30" t="s">
        <v>92</v>
      </c>
      <c r="F9" s="31">
        <v>2.0</v>
      </c>
      <c r="G9" s="28" t="s">
        <v>129</v>
      </c>
      <c r="H9" s="30" t="s">
        <v>131</v>
      </c>
      <c r="I9" s="31">
        <v>2.0</v>
      </c>
      <c r="J9" s="28" t="s">
        <v>135</v>
      </c>
      <c r="K9" s="30" t="s">
        <v>137</v>
      </c>
      <c r="L9" s="31">
        <v>2.0</v>
      </c>
      <c r="M9" s="28" t="s">
        <v>141</v>
      </c>
      <c r="N9" s="30" t="s">
        <v>137</v>
      </c>
      <c r="O9" s="31">
        <v>2.0</v>
      </c>
      <c r="P9" s="30"/>
      <c r="Q9" s="30"/>
      <c r="R9" s="30"/>
    </row>
    <row r="10">
      <c r="A10" s="28" t="s">
        <v>146</v>
      </c>
      <c r="B10" s="30" t="s">
        <v>148</v>
      </c>
      <c r="C10" s="31">
        <v>2.0</v>
      </c>
      <c r="D10" s="28" t="s">
        <v>150</v>
      </c>
      <c r="E10" s="30" t="s">
        <v>131</v>
      </c>
      <c r="F10" s="31">
        <v>2.0</v>
      </c>
      <c r="G10" s="28" t="s">
        <v>153</v>
      </c>
      <c r="H10" s="30" t="s">
        <v>137</v>
      </c>
      <c r="I10" s="31">
        <v>2.0</v>
      </c>
      <c r="J10" s="28" t="s">
        <v>157</v>
      </c>
      <c r="K10" s="30" t="s">
        <v>159</v>
      </c>
      <c r="L10" s="31">
        <v>2.0</v>
      </c>
      <c r="M10" s="28" t="s">
        <v>162</v>
      </c>
      <c r="N10" s="30" t="s">
        <v>159</v>
      </c>
      <c r="O10" s="31">
        <v>2.0</v>
      </c>
      <c r="P10" s="30"/>
      <c r="Q10" s="30"/>
      <c r="R10" s="30"/>
    </row>
    <row r="11">
      <c r="A11" s="28" t="s">
        <v>168</v>
      </c>
      <c r="B11" s="30" t="s">
        <v>169</v>
      </c>
      <c r="C11" s="31">
        <v>2.0</v>
      </c>
      <c r="D11" s="28" t="s">
        <v>171</v>
      </c>
      <c r="E11" s="30" t="s">
        <v>173</v>
      </c>
      <c r="F11" s="31">
        <v>2.0</v>
      </c>
      <c r="G11" s="28" t="s">
        <v>175</v>
      </c>
      <c r="H11" s="30" t="s">
        <v>159</v>
      </c>
      <c r="I11" s="31">
        <v>2.0</v>
      </c>
      <c r="J11" s="28" t="s">
        <v>179</v>
      </c>
      <c r="K11" s="30" t="s">
        <v>182</v>
      </c>
      <c r="L11" s="31">
        <v>2.0</v>
      </c>
      <c r="M11" s="28" t="s">
        <v>184</v>
      </c>
      <c r="N11" s="30" t="s">
        <v>186</v>
      </c>
      <c r="O11" s="31">
        <v>2.0</v>
      </c>
      <c r="P11" s="30"/>
      <c r="Q11" s="30"/>
      <c r="R11" s="30"/>
    </row>
    <row r="12">
      <c r="A12" s="28" t="s">
        <v>191</v>
      </c>
      <c r="B12" s="30" t="s">
        <v>173</v>
      </c>
      <c r="C12" s="31">
        <v>2.0</v>
      </c>
      <c r="D12" s="28" t="s">
        <v>194</v>
      </c>
      <c r="E12" s="30" t="s">
        <v>159</v>
      </c>
      <c r="F12" s="31">
        <v>2.0</v>
      </c>
      <c r="G12" s="28" t="s">
        <v>198</v>
      </c>
      <c r="H12" s="30" t="s">
        <v>186</v>
      </c>
      <c r="I12" s="31">
        <v>2.0</v>
      </c>
      <c r="J12" s="28" t="s">
        <v>201</v>
      </c>
      <c r="K12" s="30" t="s">
        <v>186</v>
      </c>
      <c r="L12" s="31">
        <v>2.0</v>
      </c>
      <c r="M12" s="28" t="s">
        <v>205</v>
      </c>
      <c r="N12" s="30" t="s">
        <v>208</v>
      </c>
      <c r="O12" s="31">
        <v>2.0</v>
      </c>
      <c r="P12" s="30"/>
      <c r="Q12" s="30"/>
      <c r="R12" s="30"/>
    </row>
    <row r="13">
      <c r="A13" s="28" t="s">
        <v>212</v>
      </c>
      <c r="B13" s="30" t="s">
        <v>213</v>
      </c>
      <c r="C13" s="31">
        <v>2.0</v>
      </c>
      <c r="D13" s="28" t="s">
        <v>216</v>
      </c>
      <c r="E13" s="30" t="s">
        <v>213</v>
      </c>
      <c r="F13" s="31">
        <v>2.0</v>
      </c>
      <c r="G13" s="28" t="s">
        <v>219</v>
      </c>
      <c r="H13" s="30" t="s">
        <v>208</v>
      </c>
      <c r="I13" s="31">
        <v>2.0</v>
      </c>
      <c r="J13" s="28" t="s">
        <v>222</v>
      </c>
      <c r="K13" s="30" t="s">
        <v>208</v>
      </c>
      <c r="L13" s="31">
        <v>2.0</v>
      </c>
      <c r="M13" s="28" t="s">
        <v>226</v>
      </c>
      <c r="N13" s="30" t="s">
        <v>227</v>
      </c>
      <c r="O13" s="31">
        <v>2.0</v>
      </c>
      <c r="P13" s="30"/>
      <c r="Q13" s="30"/>
      <c r="R13" s="30"/>
    </row>
    <row r="14">
      <c r="A14" s="28" t="s">
        <v>231</v>
      </c>
      <c r="B14" s="30" t="s">
        <v>232</v>
      </c>
      <c r="C14" s="31">
        <v>2.0</v>
      </c>
      <c r="D14" s="28" t="s">
        <v>234</v>
      </c>
      <c r="E14" s="30" t="s">
        <v>232</v>
      </c>
      <c r="F14" s="31">
        <v>2.0</v>
      </c>
      <c r="G14" s="28" t="s">
        <v>235</v>
      </c>
      <c r="H14" s="30" t="s">
        <v>236</v>
      </c>
      <c r="I14" s="31">
        <v>2.0</v>
      </c>
      <c r="J14" s="28" t="s">
        <v>239</v>
      </c>
      <c r="K14" s="30" t="s">
        <v>236</v>
      </c>
      <c r="L14" s="31">
        <v>2.0</v>
      </c>
      <c r="M14" s="28" t="s">
        <v>241</v>
      </c>
      <c r="N14" s="30" t="s">
        <v>243</v>
      </c>
      <c r="O14" s="31">
        <v>2.0</v>
      </c>
      <c r="P14" s="30"/>
      <c r="Q14" s="30"/>
      <c r="R14" s="30"/>
    </row>
    <row r="15">
      <c r="A15" s="28" t="s">
        <v>250</v>
      </c>
      <c r="B15" s="30" t="s">
        <v>252</v>
      </c>
      <c r="C15" s="31">
        <v>2.0</v>
      </c>
      <c r="D15" s="28" t="s">
        <v>253</v>
      </c>
      <c r="E15" s="30" t="s">
        <v>255</v>
      </c>
      <c r="F15" s="31">
        <v>2.0</v>
      </c>
      <c r="G15" s="28" t="s">
        <v>258</v>
      </c>
      <c r="H15" s="30" t="s">
        <v>255</v>
      </c>
      <c r="I15" s="31">
        <v>2.0</v>
      </c>
      <c r="J15" s="28" t="s">
        <v>261</v>
      </c>
      <c r="K15" s="30" t="s">
        <v>227</v>
      </c>
      <c r="L15" s="31">
        <v>2.0</v>
      </c>
      <c r="M15" s="28" t="s">
        <v>266</v>
      </c>
      <c r="N15" s="30" t="s">
        <v>182</v>
      </c>
      <c r="O15" s="31">
        <v>2.0</v>
      </c>
      <c r="P15" s="30"/>
      <c r="Q15" s="30"/>
      <c r="R15" s="30"/>
    </row>
    <row r="16">
      <c r="A16" s="28" t="s">
        <v>273</v>
      </c>
      <c r="B16" s="44" t="s">
        <v>252</v>
      </c>
      <c r="C16" s="31">
        <v>2.0</v>
      </c>
      <c r="D16" s="28" t="s">
        <v>282</v>
      </c>
      <c r="E16" s="30" t="s">
        <v>284</v>
      </c>
      <c r="F16" s="31" t="s">
        <v>286</v>
      </c>
      <c r="G16" s="28" t="s">
        <v>289</v>
      </c>
      <c r="H16" s="30" t="s">
        <v>291</v>
      </c>
      <c r="I16" s="31">
        <v>2.0</v>
      </c>
      <c r="J16" s="28" t="s">
        <v>292</v>
      </c>
      <c r="K16" s="30" t="s">
        <v>255</v>
      </c>
      <c r="L16" s="31">
        <v>2.0</v>
      </c>
      <c r="M16" s="28" t="s">
        <v>295</v>
      </c>
      <c r="N16" s="30" t="s">
        <v>255</v>
      </c>
      <c r="O16" s="31">
        <v>2.0</v>
      </c>
      <c r="P16" s="30"/>
      <c r="Q16" s="30"/>
      <c r="R16" s="30"/>
    </row>
    <row r="17">
      <c r="A17" s="28" t="s">
        <v>303</v>
      </c>
      <c r="B17" s="44" t="s">
        <v>148</v>
      </c>
      <c r="C17" s="31">
        <v>2.0</v>
      </c>
      <c r="D17" s="30"/>
      <c r="E17" s="30"/>
      <c r="F17" s="30"/>
      <c r="G17" s="28" t="s">
        <v>310</v>
      </c>
      <c r="H17" s="30" t="s">
        <v>284</v>
      </c>
      <c r="I17" s="31" t="s">
        <v>314</v>
      </c>
      <c r="J17" s="28" t="s">
        <v>318</v>
      </c>
      <c r="K17" s="30" t="s">
        <v>186</v>
      </c>
      <c r="L17" s="31">
        <v>2.0</v>
      </c>
      <c r="M17" s="28" t="s">
        <v>321</v>
      </c>
      <c r="N17" s="30" t="s">
        <v>324</v>
      </c>
      <c r="O17" s="31">
        <v>2.0</v>
      </c>
      <c r="P17" s="30"/>
      <c r="Q17" s="30"/>
      <c r="R17" s="30"/>
    </row>
    <row r="18">
      <c r="A18" s="30"/>
      <c r="B18" s="30"/>
      <c r="C18" s="30"/>
      <c r="D18" s="30"/>
      <c r="E18" s="30"/>
      <c r="F18" s="30"/>
      <c r="G18" s="30"/>
      <c r="H18" s="30"/>
      <c r="I18" s="30"/>
      <c r="J18" s="28" t="s">
        <v>333</v>
      </c>
      <c r="K18" s="30" t="s">
        <v>291</v>
      </c>
      <c r="L18" s="31">
        <v>2.0</v>
      </c>
      <c r="M18" s="30"/>
      <c r="N18" s="30"/>
      <c r="O18" s="30"/>
      <c r="P18" s="30"/>
      <c r="Q18" s="30"/>
      <c r="R18" s="30"/>
    </row>
    <row r="19">
      <c r="A19" s="30"/>
      <c r="B19" s="30"/>
      <c r="C19" s="30"/>
      <c r="D19" s="30"/>
      <c r="E19" s="30"/>
      <c r="F19" s="30"/>
      <c r="G19" s="30"/>
      <c r="H19" s="30"/>
      <c r="I19" s="30"/>
      <c r="J19" s="28" t="s">
        <v>338</v>
      </c>
      <c r="K19" s="30" t="s">
        <v>182</v>
      </c>
      <c r="L19" s="31">
        <v>2.0</v>
      </c>
      <c r="M19" s="30"/>
      <c r="N19" s="30"/>
      <c r="O19" s="30"/>
      <c r="P19" s="30"/>
      <c r="Q19" s="30"/>
      <c r="R19" s="30"/>
    </row>
  </sheetData>
  <mergeCells count="7">
    <mergeCell ref="A1:R1"/>
    <mergeCell ref="A2:C2"/>
    <mergeCell ref="D2:F2"/>
    <mergeCell ref="G2:I2"/>
    <mergeCell ref="J2:L2"/>
    <mergeCell ref="M2:O2"/>
    <mergeCell ref="P2:R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</row>
    <row r="2">
      <c r="A2" s="4" t="s">
        <v>2</v>
      </c>
      <c r="D2" s="6" t="s">
        <v>4</v>
      </c>
      <c r="G2" s="8" t="s">
        <v>5</v>
      </c>
      <c r="J2" s="11" t="s">
        <v>7</v>
      </c>
      <c r="M2" s="15" t="s">
        <v>8</v>
      </c>
      <c r="P2" s="17" t="s">
        <v>9</v>
      </c>
    </row>
    <row r="3">
      <c r="A3" s="20" t="s">
        <v>10</v>
      </c>
      <c r="B3" s="20" t="s">
        <v>11</v>
      </c>
      <c r="C3" s="20" t="s">
        <v>12</v>
      </c>
      <c r="D3" s="20" t="s">
        <v>10</v>
      </c>
      <c r="E3" s="20" t="s">
        <v>11</v>
      </c>
      <c r="F3" s="20" t="s">
        <v>12</v>
      </c>
      <c r="G3" s="20" t="s">
        <v>10</v>
      </c>
      <c r="H3" s="20" t="s">
        <v>11</v>
      </c>
      <c r="I3" s="20" t="s">
        <v>12</v>
      </c>
      <c r="J3" s="20" t="s">
        <v>10</v>
      </c>
      <c r="K3" s="20" t="s">
        <v>11</v>
      </c>
      <c r="L3" s="20" t="s">
        <v>12</v>
      </c>
      <c r="M3" s="20" t="s">
        <v>10</v>
      </c>
      <c r="N3" s="20" t="s">
        <v>11</v>
      </c>
      <c r="O3" s="20" t="s">
        <v>12</v>
      </c>
      <c r="P3" s="20" t="s">
        <v>10</v>
      </c>
      <c r="Q3" s="20" t="s">
        <v>11</v>
      </c>
      <c r="R3" s="20" t="s">
        <v>12</v>
      </c>
    </row>
    <row r="4">
      <c r="A4" s="26" t="s">
        <v>13</v>
      </c>
      <c r="B4" s="27" t="s">
        <v>14</v>
      </c>
      <c r="C4" s="29">
        <v>1.0</v>
      </c>
      <c r="D4" s="26" t="s">
        <v>17</v>
      </c>
      <c r="E4" s="27" t="s">
        <v>18</v>
      </c>
      <c r="F4" s="29">
        <v>2.0</v>
      </c>
      <c r="G4" s="26" t="s">
        <v>19</v>
      </c>
      <c r="H4" s="27" t="s">
        <v>20</v>
      </c>
      <c r="I4" s="29">
        <v>2.0</v>
      </c>
      <c r="J4" s="26" t="s">
        <v>21</v>
      </c>
      <c r="K4" s="27" t="s">
        <v>20</v>
      </c>
      <c r="L4" s="29">
        <v>2.0</v>
      </c>
      <c r="M4" s="26" t="s">
        <v>22</v>
      </c>
      <c r="N4" s="27" t="s">
        <v>24</v>
      </c>
      <c r="O4" s="29">
        <v>2.0</v>
      </c>
      <c r="P4" s="26" t="s">
        <v>25</v>
      </c>
      <c r="Q4" s="27" t="s">
        <v>27</v>
      </c>
      <c r="R4" s="29" t="s">
        <v>29</v>
      </c>
    </row>
    <row r="5">
      <c r="A5" s="26" t="s">
        <v>32</v>
      </c>
      <c r="B5" s="27" t="s">
        <v>33</v>
      </c>
      <c r="C5" s="29">
        <v>1.0</v>
      </c>
      <c r="D5" s="26" t="s">
        <v>35</v>
      </c>
      <c r="E5" s="27" t="s">
        <v>33</v>
      </c>
      <c r="F5" s="29">
        <v>2.0</v>
      </c>
      <c r="G5" s="26" t="s">
        <v>38</v>
      </c>
      <c r="H5" s="27" t="s">
        <v>39</v>
      </c>
      <c r="I5" s="29">
        <v>2.0</v>
      </c>
      <c r="J5" s="26" t="s">
        <v>41</v>
      </c>
      <c r="K5" s="27" t="s">
        <v>39</v>
      </c>
      <c r="L5" s="29">
        <v>2.0</v>
      </c>
      <c r="M5" s="26" t="s">
        <v>43</v>
      </c>
      <c r="N5" s="27" t="s">
        <v>39</v>
      </c>
      <c r="O5" s="29">
        <v>2.0</v>
      </c>
      <c r="P5" s="26" t="s">
        <v>46</v>
      </c>
      <c r="Q5" s="27" t="s">
        <v>47</v>
      </c>
      <c r="R5" s="29" t="s">
        <v>49</v>
      </c>
    </row>
    <row r="6">
      <c r="A6" s="26" t="s">
        <v>50</v>
      </c>
      <c r="B6" s="27" t="s">
        <v>52</v>
      </c>
      <c r="C6" s="29">
        <v>1.0</v>
      </c>
      <c r="D6" s="26" t="s">
        <v>53</v>
      </c>
      <c r="E6" s="27" t="s">
        <v>55</v>
      </c>
      <c r="F6" s="29">
        <v>2.0</v>
      </c>
      <c r="G6" s="26" t="s">
        <v>56</v>
      </c>
      <c r="H6" s="27" t="s">
        <v>58</v>
      </c>
      <c r="I6" s="29">
        <v>2.0</v>
      </c>
      <c r="J6" s="26" t="s">
        <v>59</v>
      </c>
      <c r="K6" s="27" t="s">
        <v>61</v>
      </c>
      <c r="L6" s="29">
        <v>2.0</v>
      </c>
      <c r="M6" s="26" t="s">
        <v>64</v>
      </c>
      <c r="N6" s="27" t="s">
        <v>65</v>
      </c>
      <c r="O6" s="29">
        <v>2.0</v>
      </c>
      <c r="P6" s="26" t="s">
        <v>68</v>
      </c>
      <c r="Q6" s="27" t="s">
        <v>69</v>
      </c>
      <c r="R6" s="29" t="s">
        <v>29</v>
      </c>
    </row>
    <row r="7">
      <c r="A7" s="26" t="s">
        <v>71</v>
      </c>
      <c r="B7" s="27" t="s">
        <v>55</v>
      </c>
      <c r="C7" s="29">
        <v>1.0</v>
      </c>
      <c r="D7" s="26" t="s">
        <v>77</v>
      </c>
      <c r="E7" s="27" t="s">
        <v>79</v>
      </c>
      <c r="F7" s="29">
        <v>2.0</v>
      </c>
      <c r="G7" s="26" t="s">
        <v>81</v>
      </c>
      <c r="H7" s="27" t="s">
        <v>79</v>
      </c>
      <c r="I7" s="29">
        <v>2.0</v>
      </c>
      <c r="J7" s="26" t="s">
        <v>84</v>
      </c>
      <c r="K7" s="27" t="s">
        <v>86</v>
      </c>
      <c r="L7" s="29">
        <v>2.0</v>
      </c>
      <c r="M7" s="26" t="s">
        <v>88</v>
      </c>
      <c r="N7" s="27" t="s">
        <v>89</v>
      </c>
      <c r="O7" s="29">
        <v>2.0</v>
      </c>
      <c r="P7" s="26" t="s">
        <v>91</v>
      </c>
      <c r="Q7" s="27" t="s">
        <v>93</v>
      </c>
      <c r="R7" s="29" t="s">
        <v>94</v>
      </c>
    </row>
    <row r="8">
      <c r="A8" s="26" t="s">
        <v>97</v>
      </c>
      <c r="B8" s="27" t="s">
        <v>98</v>
      </c>
      <c r="C8" s="29">
        <v>1.0</v>
      </c>
      <c r="D8" s="26" t="s">
        <v>101</v>
      </c>
      <c r="E8" s="27" t="s">
        <v>98</v>
      </c>
      <c r="F8" s="29">
        <v>2.0</v>
      </c>
      <c r="G8" s="26" t="s">
        <v>103</v>
      </c>
      <c r="H8" s="27" t="s">
        <v>98</v>
      </c>
      <c r="I8" s="29">
        <v>2.0</v>
      </c>
      <c r="J8" s="26" t="s">
        <v>106</v>
      </c>
      <c r="K8" s="27" t="s">
        <v>108</v>
      </c>
      <c r="L8" s="29">
        <v>2.0</v>
      </c>
      <c r="M8" s="26" t="s">
        <v>110</v>
      </c>
      <c r="N8" s="27" t="s">
        <v>111</v>
      </c>
      <c r="O8" s="29">
        <v>2.0</v>
      </c>
      <c r="P8" s="26" t="s">
        <v>114</v>
      </c>
      <c r="Q8" s="27" t="s">
        <v>116</v>
      </c>
      <c r="R8" s="29" t="s">
        <v>117</v>
      </c>
    </row>
    <row r="9">
      <c r="A9" s="26" t="s">
        <v>120</v>
      </c>
      <c r="B9" s="27" t="s">
        <v>61</v>
      </c>
      <c r="C9" s="29">
        <v>1.0</v>
      </c>
      <c r="D9" s="26" t="s">
        <v>122</v>
      </c>
      <c r="E9" s="27" t="s">
        <v>61</v>
      </c>
      <c r="F9" s="29">
        <v>2.0</v>
      </c>
      <c r="G9" s="26" t="s">
        <v>124</v>
      </c>
      <c r="H9" s="27" t="s">
        <v>61</v>
      </c>
      <c r="I9" s="29">
        <v>2.0</v>
      </c>
      <c r="J9" s="26" t="s">
        <v>127</v>
      </c>
      <c r="K9" s="27" t="s">
        <v>128</v>
      </c>
      <c r="L9" s="29">
        <v>2.0</v>
      </c>
      <c r="M9" s="26" t="s">
        <v>130</v>
      </c>
      <c r="N9" s="27" t="s">
        <v>133</v>
      </c>
      <c r="O9" s="29">
        <v>2.0</v>
      </c>
      <c r="P9" s="26" t="s">
        <v>136</v>
      </c>
      <c r="Q9" s="27" t="s">
        <v>139</v>
      </c>
      <c r="R9" s="29" t="s">
        <v>140</v>
      </c>
    </row>
    <row r="10">
      <c r="A10" s="26" t="s">
        <v>142</v>
      </c>
      <c r="B10" s="27" t="s">
        <v>143</v>
      </c>
      <c r="C10" s="29">
        <v>1.0</v>
      </c>
      <c r="D10" s="26" t="s">
        <v>145</v>
      </c>
      <c r="E10" s="27" t="s">
        <v>143</v>
      </c>
      <c r="F10" s="29">
        <v>2.0</v>
      </c>
      <c r="G10" s="26" t="s">
        <v>149</v>
      </c>
      <c r="H10" s="27" t="s">
        <v>143</v>
      </c>
      <c r="I10" s="29">
        <v>2.0</v>
      </c>
      <c r="J10" s="26" t="s">
        <v>151</v>
      </c>
      <c r="K10" s="27" t="s">
        <v>152</v>
      </c>
      <c r="L10" s="29">
        <v>2.0</v>
      </c>
      <c r="M10" s="26" t="s">
        <v>155</v>
      </c>
      <c r="N10" s="27" t="s">
        <v>156</v>
      </c>
      <c r="O10" s="29">
        <v>2.0</v>
      </c>
      <c r="P10" s="26" t="s">
        <v>160</v>
      </c>
      <c r="Q10" s="27" t="s">
        <v>161</v>
      </c>
      <c r="R10" s="29" t="s">
        <v>29</v>
      </c>
    </row>
    <row r="11">
      <c r="A11" s="26" t="s">
        <v>164</v>
      </c>
      <c r="B11" s="27" t="s">
        <v>165</v>
      </c>
      <c r="C11" s="29">
        <v>1.0</v>
      </c>
      <c r="D11" s="26" t="s">
        <v>167</v>
      </c>
      <c r="E11" s="27" t="s">
        <v>165</v>
      </c>
      <c r="F11" s="29">
        <v>2.0</v>
      </c>
      <c r="G11" s="26" t="s">
        <v>170</v>
      </c>
      <c r="H11" s="27" t="s">
        <v>165</v>
      </c>
      <c r="I11" s="29">
        <v>2.0</v>
      </c>
      <c r="J11" s="26" t="s">
        <v>174</v>
      </c>
      <c r="K11" s="27" t="s">
        <v>177</v>
      </c>
      <c r="L11" s="29">
        <v>2.0</v>
      </c>
      <c r="M11" s="26" t="s">
        <v>178</v>
      </c>
      <c r="N11" s="27" t="s">
        <v>181</v>
      </c>
      <c r="O11" s="29">
        <v>2.0</v>
      </c>
      <c r="P11" s="26" t="s">
        <v>183</v>
      </c>
      <c r="Q11" s="27" t="s">
        <v>185</v>
      </c>
      <c r="R11" s="29" t="s">
        <v>49</v>
      </c>
    </row>
    <row r="12">
      <c r="A12" s="26" t="s">
        <v>189</v>
      </c>
      <c r="B12" s="27" t="s">
        <v>128</v>
      </c>
      <c r="C12" s="29">
        <v>1.0</v>
      </c>
      <c r="D12" s="26" t="s">
        <v>192</v>
      </c>
      <c r="E12" s="27" t="s">
        <v>128</v>
      </c>
      <c r="F12" s="29">
        <v>2.0</v>
      </c>
      <c r="G12" s="26" t="s">
        <v>197</v>
      </c>
      <c r="H12" s="27" t="s">
        <v>128</v>
      </c>
      <c r="I12" s="29">
        <v>2.0</v>
      </c>
      <c r="J12" s="26" t="s">
        <v>199</v>
      </c>
      <c r="K12" s="27" t="s">
        <v>200</v>
      </c>
      <c r="L12" s="29">
        <v>2.0</v>
      </c>
      <c r="M12" s="26" t="s">
        <v>203</v>
      </c>
      <c r="N12" s="27" t="s">
        <v>204</v>
      </c>
      <c r="O12" s="29">
        <v>2.0</v>
      </c>
      <c r="P12" s="26" t="s">
        <v>207</v>
      </c>
      <c r="Q12" s="27" t="s">
        <v>209</v>
      </c>
      <c r="R12" s="29" t="s">
        <v>210</v>
      </c>
    </row>
    <row r="13">
      <c r="A13" s="26" t="s">
        <v>215</v>
      </c>
      <c r="B13" s="27" t="s">
        <v>108</v>
      </c>
      <c r="C13" s="29">
        <v>1.0</v>
      </c>
      <c r="D13" s="26" t="s">
        <v>218</v>
      </c>
      <c r="E13" s="27" t="s">
        <v>108</v>
      </c>
      <c r="F13" s="29">
        <v>2.0</v>
      </c>
      <c r="G13" s="26" t="s">
        <v>221</v>
      </c>
      <c r="H13" s="27" t="s">
        <v>108</v>
      </c>
      <c r="I13" s="29">
        <v>2.0</v>
      </c>
      <c r="J13" s="26" t="s">
        <v>223</v>
      </c>
      <c r="K13" s="27" t="s">
        <v>225</v>
      </c>
      <c r="L13" s="29">
        <v>2.0</v>
      </c>
      <c r="M13" s="26" t="s">
        <v>228</v>
      </c>
      <c r="N13" s="27" t="s">
        <v>230</v>
      </c>
      <c r="O13" s="29">
        <v>2.0</v>
      </c>
      <c r="P13" s="43"/>
      <c r="Q13" s="43"/>
      <c r="R13" s="43"/>
    </row>
    <row r="14">
      <c r="A14" s="26" t="s">
        <v>237</v>
      </c>
      <c r="B14" s="27" t="s">
        <v>39</v>
      </c>
      <c r="C14" s="29">
        <v>1.0</v>
      </c>
      <c r="D14" s="26" t="s">
        <v>240</v>
      </c>
      <c r="E14" s="27" t="s">
        <v>39</v>
      </c>
      <c r="F14" s="29">
        <v>2.0</v>
      </c>
      <c r="G14" s="26" t="s">
        <v>242</v>
      </c>
      <c r="H14" s="27" t="s">
        <v>244</v>
      </c>
      <c r="I14" s="29">
        <v>2.0</v>
      </c>
      <c r="J14" s="26" t="s">
        <v>246</v>
      </c>
      <c r="K14" s="27" t="s">
        <v>247</v>
      </c>
      <c r="L14" s="29">
        <v>2.0</v>
      </c>
      <c r="M14" s="26" t="s">
        <v>249</v>
      </c>
      <c r="N14" s="27" t="s">
        <v>251</v>
      </c>
      <c r="O14" s="29">
        <v>2.0</v>
      </c>
      <c r="P14" s="43"/>
      <c r="Q14" s="43"/>
      <c r="R14" s="43"/>
    </row>
    <row r="15">
      <c r="A15" s="26" t="s">
        <v>256</v>
      </c>
      <c r="B15" s="27" t="s">
        <v>259</v>
      </c>
      <c r="C15" s="29">
        <v>1.0</v>
      </c>
      <c r="D15" s="26" t="s">
        <v>260</v>
      </c>
      <c r="E15" s="27" t="s">
        <v>244</v>
      </c>
      <c r="F15" s="29">
        <v>2.0</v>
      </c>
      <c r="G15" s="26" t="s">
        <v>263</v>
      </c>
      <c r="H15" s="27" t="s">
        <v>264</v>
      </c>
      <c r="I15" s="29">
        <v>2.0</v>
      </c>
      <c r="J15" s="26" t="s">
        <v>267</v>
      </c>
      <c r="K15" s="27" t="s">
        <v>268</v>
      </c>
      <c r="L15" s="29">
        <v>2.0</v>
      </c>
      <c r="M15" s="26" t="s">
        <v>269</v>
      </c>
      <c r="N15" s="27" t="s">
        <v>271</v>
      </c>
      <c r="O15" s="29">
        <v>2.0</v>
      </c>
      <c r="P15" s="43"/>
      <c r="Q15" s="43"/>
      <c r="R15" s="43"/>
    </row>
    <row r="16">
      <c r="A16" s="26" t="s">
        <v>274</v>
      </c>
      <c r="B16" s="27" t="s">
        <v>275</v>
      </c>
      <c r="C16" s="29">
        <v>1.0</v>
      </c>
      <c r="D16" s="26" t="s">
        <v>276</v>
      </c>
      <c r="E16" s="27" t="s">
        <v>278</v>
      </c>
      <c r="F16" s="29">
        <v>2.0</v>
      </c>
      <c r="G16" s="26" t="s">
        <v>279</v>
      </c>
      <c r="H16" s="27" t="s">
        <v>280</v>
      </c>
      <c r="I16" s="29">
        <v>2.0</v>
      </c>
      <c r="J16" s="26" t="s">
        <v>283</v>
      </c>
      <c r="K16" s="27" t="s">
        <v>285</v>
      </c>
      <c r="L16" s="29">
        <v>2.0</v>
      </c>
      <c r="M16" s="26" t="s">
        <v>288</v>
      </c>
      <c r="N16" s="27" t="s">
        <v>290</v>
      </c>
      <c r="O16" s="29">
        <v>2.0</v>
      </c>
      <c r="P16" s="43"/>
      <c r="Q16" s="43"/>
      <c r="R16" s="43"/>
    </row>
    <row r="17">
      <c r="A17" s="26" t="s">
        <v>293</v>
      </c>
      <c r="B17" s="27" t="s">
        <v>294</v>
      </c>
      <c r="C17" s="29">
        <v>1.0</v>
      </c>
      <c r="D17" s="26" t="s">
        <v>297</v>
      </c>
      <c r="E17" s="27" t="s">
        <v>298</v>
      </c>
      <c r="F17" s="29">
        <v>2.0</v>
      </c>
      <c r="G17" s="26" t="s">
        <v>300</v>
      </c>
      <c r="H17" s="27" t="s">
        <v>301</v>
      </c>
      <c r="I17" s="29">
        <v>2.0</v>
      </c>
      <c r="J17" s="26" t="s">
        <v>302</v>
      </c>
      <c r="K17" s="27" t="s">
        <v>304</v>
      </c>
      <c r="L17" s="29">
        <v>2.0</v>
      </c>
      <c r="M17" s="26" t="s">
        <v>306</v>
      </c>
      <c r="N17" s="27" t="s">
        <v>307</v>
      </c>
      <c r="O17" s="29">
        <v>2.0</v>
      </c>
      <c r="P17" s="43"/>
      <c r="Q17" s="43"/>
      <c r="R17" s="43"/>
    </row>
    <row r="18">
      <c r="A18" s="26" t="s">
        <v>309</v>
      </c>
      <c r="B18" s="27" t="s">
        <v>311</v>
      </c>
      <c r="C18" s="29">
        <v>1.0</v>
      </c>
      <c r="D18" s="26" t="s">
        <v>313</v>
      </c>
      <c r="E18" s="27" t="s">
        <v>315</v>
      </c>
      <c r="F18" s="29">
        <v>2.0</v>
      </c>
      <c r="G18" s="26" t="s">
        <v>319</v>
      </c>
      <c r="H18" s="27" t="s">
        <v>298</v>
      </c>
      <c r="I18" s="29">
        <v>2.0</v>
      </c>
      <c r="J18" s="26" t="s">
        <v>320</v>
      </c>
      <c r="K18" s="27" t="s">
        <v>323</v>
      </c>
      <c r="L18" s="29">
        <v>2.0</v>
      </c>
      <c r="M18" s="26" t="s">
        <v>326</v>
      </c>
      <c r="N18" s="27" t="s">
        <v>327</v>
      </c>
      <c r="O18" s="29">
        <v>2.0</v>
      </c>
      <c r="P18" s="43"/>
      <c r="Q18" s="43"/>
      <c r="R18" s="43"/>
    </row>
    <row r="19">
      <c r="A19" s="26" t="s">
        <v>328</v>
      </c>
      <c r="B19" s="27" t="s">
        <v>330</v>
      </c>
      <c r="C19" s="29">
        <v>1.0</v>
      </c>
      <c r="D19" s="26" t="s">
        <v>340</v>
      </c>
      <c r="E19" s="27" t="s">
        <v>190</v>
      </c>
      <c r="F19" s="29">
        <v>2.0</v>
      </c>
      <c r="G19" s="26" t="s">
        <v>341</v>
      </c>
      <c r="H19" s="27" t="s">
        <v>190</v>
      </c>
      <c r="I19" s="29">
        <v>2.0</v>
      </c>
      <c r="J19" s="26" t="s">
        <v>343</v>
      </c>
      <c r="K19" s="27" t="s">
        <v>344</v>
      </c>
      <c r="L19" s="29">
        <v>2.0</v>
      </c>
      <c r="M19" s="26" t="s">
        <v>346</v>
      </c>
      <c r="N19" s="27" t="s">
        <v>347</v>
      </c>
      <c r="O19" s="29">
        <v>2.0</v>
      </c>
      <c r="P19" s="43"/>
      <c r="Q19" s="43"/>
      <c r="R19" s="43"/>
    </row>
    <row r="20">
      <c r="A20" s="26" t="s">
        <v>349</v>
      </c>
      <c r="B20" s="27" t="s">
        <v>315</v>
      </c>
      <c r="C20" s="29">
        <v>2.0</v>
      </c>
      <c r="D20" s="26" t="s">
        <v>351</v>
      </c>
      <c r="E20" s="27" t="s">
        <v>352</v>
      </c>
      <c r="F20" s="29">
        <v>2.0</v>
      </c>
      <c r="G20" s="26" t="s">
        <v>353</v>
      </c>
      <c r="H20" s="27" t="s">
        <v>214</v>
      </c>
      <c r="I20" s="29">
        <v>2.0</v>
      </c>
      <c r="J20" s="26" t="s">
        <v>355</v>
      </c>
      <c r="K20" s="27" t="s">
        <v>357</v>
      </c>
      <c r="L20" s="29">
        <v>2.0</v>
      </c>
      <c r="M20" s="26" t="s">
        <v>358</v>
      </c>
      <c r="N20" s="27" t="s">
        <v>359</v>
      </c>
      <c r="O20" s="29">
        <v>2.0</v>
      </c>
      <c r="P20" s="43"/>
      <c r="Q20" s="43"/>
      <c r="R20" s="43"/>
    </row>
    <row r="21">
      <c r="A21" s="26" t="s">
        <v>361</v>
      </c>
      <c r="B21" s="27" t="s">
        <v>362</v>
      </c>
      <c r="C21" s="29" t="s">
        <v>94</v>
      </c>
      <c r="D21" s="26" t="s">
        <v>363</v>
      </c>
      <c r="E21" s="27" t="s">
        <v>364</v>
      </c>
      <c r="F21" s="29">
        <v>2.0</v>
      </c>
      <c r="G21" s="26" t="s">
        <v>366</v>
      </c>
      <c r="H21" s="27" t="s">
        <v>367</v>
      </c>
      <c r="I21" s="29">
        <v>2.0</v>
      </c>
      <c r="J21" s="26" t="s">
        <v>369</v>
      </c>
      <c r="K21" s="27" t="s">
        <v>370</v>
      </c>
      <c r="L21" s="29">
        <v>2.0</v>
      </c>
      <c r="M21" s="26" t="s">
        <v>371</v>
      </c>
      <c r="N21" s="27" t="s">
        <v>372</v>
      </c>
      <c r="O21" s="29">
        <v>2.0</v>
      </c>
      <c r="P21" s="43"/>
      <c r="Q21" s="43"/>
      <c r="R21" s="43"/>
    </row>
    <row r="22">
      <c r="A22" s="26" t="s">
        <v>375</v>
      </c>
      <c r="B22" s="27" t="s">
        <v>376</v>
      </c>
      <c r="C22" s="29" t="s">
        <v>49</v>
      </c>
      <c r="D22" s="26" t="s">
        <v>377</v>
      </c>
      <c r="E22" s="27" t="s">
        <v>330</v>
      </c>
      <c r="F22" s="29">
        <v>2.0</v>
      </c>
      <c r="G22" s="26" t="s">
        <v>379</v>
      </c>
      <c r="H22" s="27" t="s">
        <v>315</v>
      </c>
      <c r="I22" s="29">
        <v>2.0</v>
      </c>
      <c r="J22" s="26" t="s">
        <v>381</v>
      </c>
      <c r="K22" s="27" t="s">
        <v>382</v>
      </c>
      <c r="L22" s="29" t="s">
        <v>94</v>
      </c>
      <c r="M22" s="26" t="s">
        <v>383</v>
      </c>
      <c r="N22" s="27" t="s">
        <v>384</v>
      </c>
      <c r="O22" s="29">
        <v>2.0</v>
      </c>
      <c r="P22" s="43"/>
      <c r="Q22" s="43"/>
      <c r="R22" s="43"/>
    </row>
    <row r="23">
      <c r="A23" s="26" t="s">
        <v>387</v>
      </c>
      <c r="B23" s="27" t="s">
        <v>388</v>
      </c>
      <c r="C23" s="29" t="s">
        <v>49</v>
      </c>
      <c r="D23" s="26" t="s">
        <v>389</v>
      </c>
      <c r="E23" s="27" t="s">
        <v>390</v>
      </c>
      <c r="F23" s="29">
        <v>2.0</v>
      </c>
      <c r="G23" s="26" t="s">
        <v>391</v>
      </c>
      <c r="H23" s="27" t="s">
        <v>352</v>
      </c>
      <c r="I23" s="29">
        <v>2.0</v>
      </c>
      <c r="J23" s="26" t="s">
        <v>393</v>
      </c>
      <c r="K23" s="27" t="s">
        <v>394</v>
      </c>
      <c r="L23" s="29" t="s">
        <v>94</v>
      </c>
      <c r="M23" s="26" t="s">
        <v>396</v>
      </c>
      <c r="N23" s="27" t="s">
        <v>397</v>
      </c>
      <c r="O23" s="29">
        <v>2.0</v>
      </c>
      <c r="P23" s="43"/>
      <c r="Q23" s="43"/>
      <c r="R23" s="43"/>
    </row>
    <row r="24">
      <c r="A24" s="43"/>
      <c r="B24" s="43"/>
      <c r="C24" s="43"/>
      <c r="D24" s="26" t="s">
        <v>400</v>
      </c>
      <c r="E24" s="27" t="s">
        <v>401</v>
      </c>
      <c r="F24" s="29">
        <v>2.0</v>
      </c>
      <c r="G24" s="26" t="s">
        <v>402</v>
      </c>
      <c r="H24" s="27" t="s">
        <v>403</v>
      </c>
      <c r="I24" s="29">
        <v>2.0</v>
      </c>
      <c r="J24" s="26" t="s">
        <v>405</v>
      </c>
      <c r="K24" s="27" t="s">
        <v>406</v>
      </c>
      <c r="L24" s="29" t="s">
        <v>117</v>
      </c>
      <c r="M24" s="26" t="s">
        <v>408</v>
      </c>
      <c r="N24" s="27" t="s">
        <v>409</v>
      </c>
      <c r="O24" s="29">
        <v>2.0</v>
      </c>
      <c r="P24" s="43"/>
      <c r="Q24" s="43"/>
      <c r="R24" s="43"/>
    </row>
    <row r="25">
      <c r="A25" s="43"/>
      <c r="B25" s="43"/>
      <c r="C25" s="43"/>
      <c r="D25" s="26" t="s">
        <v>411</v>
      </c>
      <c r="E25" s="27" t="s">
        <v>412</v>
      </c>
      <c r="F25" s="29">
        <v>2.0</v>
      </c>
      <c r="G25" s="26" t="s">
        <v>413</v>
      </c>
      <c r="H25" s="27" t="s">
        <v>388</v>
      </c>
      <c r="I25" s="29" t="s">
        <v>49</v>
      </c>
      <c r="J25" s="26" t="s">
        <v>414</v>
      </c>
      <c r="K25" s="27" t="s">
        <v>416</v>
      </c>
      <c r="L25" s="29" t="s">
        <v>140</v>
      </c>
      <c r="M25" s="26" t="s">
        <v>418</v>
      </c>
      <c r="N25" s="27" t="s">
        <v>419</v>
      </c>
      <c r="O25" s="29">
        <v>2.0</v>
      </c>
      <c r="P25" s="43"/>
      <c r="Q25" s="43"/>
      <c r="R25" s="43"/>
    </row>
    <row r="26">
      <c r="A26" s="43"/>
      <c r="B26" s="43"/>
      <c r="C26" s="43"/>
      <c r="D26" s="26" t="s">
        <v>421</v>
      </c>
      <c r="E26" s="27" t="s">
        <v>423</v>
      </c>
      <c r="F26" s="29" t="s">
        <v>94</v>
      </c>
      <c r="G26" s="26" t="s">
        <v>424</v>
      </c>
      <c r="H26" s="27" t="s">
        <v>376</v>
      </c>
      <c r="I26" s="29" t="s">
        <v>117</v>
      </c>
      <c r="J26" s="43"/>
      <c r="K26" s="43"/>
      <c r="L26" s="43"/>
      <c r="M26" s="26" t="s">
        <v>427</v>
      </c>
      <c r="N26" s="27" t="s">
        <v>403</v>
      </c>
      <c r="O26" s="29">
        <v>2.0</v>
      </c>
      <c r="P26" s="43"/>
      <c r="Q26" s="43"/>
      <c r="R26" s="43"/>
    </row>
    <row r="27">
      <c r="A27" s="43"/>
      <c r="B27" s="43"/>
      <c r="C27" s="43"/>
      <c r="D27" s="26" t="s">
        <v>429</v>
      </c>
      <c r="E27" s="27" t="s">
        <v>430</v>
      </c>
      <c r="F27" s="29" t="s">
        <v>94</v>
      </c>
      <c r="G27" s="43"/>
      <c r="H27" s="43"/>
      <c r="I27" s="30"/>
      <c r="J27" s="43"/>
      <c r="K27" s="43"/>
      <c r="L27" s="43"/>
      <c r="M27" s="26" t="s">
        <v>433</v>
      </c>
      <c r="N27" s="27" t="s">
        <v>435</v>
      </c>
      <c r="O27" s="29">
        <v>2.0</v>
      </c>
      <c r="P27" s="43"/>
      <c r="Q27" s="43"/>
      <c r="R27" s="43"/>
    </row>
    <row r="28">
      <c r="A28" s="43"/>
      <c r="B28" s="43"/>
      <c r="C28" s="43"/>
      <c r="D28" s="26" t="s">
        <v>436</v>
      </c>
      <c r="E28" s="27" t="s">
        <v>437</v>
      </c>
      <c r="F28" s="29" t="s">
        <v>94</v>
      </c>
      <c r="G28" s="43"/>
      <c r="H28" s="43"/>
      <c r="I28" s="43"/>
      <c r="J28" s="43"/>
      <c r="K28" s="43"/>
      <c r="L28" s="43"/>
      <c r="M28" s="26" t="s">
        <v>439</v>
      </c>
      <c r="N28" s="27" t="s">
        <v>440</v>
      </c>
      <c r="O28" s="29">
        <v>2.0</v>
      </c>
      <c r="P28" s="43"/>
      <c r="Q28" s="43"/>
      <c r="R28" s="43"/>
    </row>
    <row r="29">
      <c r="A29" s="43"/>
      <c r="B29" s="43"/>
      <c r="C29" s="43"/>
      <c r="D29" s="26" t="s">
        <v>443</v>
      </c>
      <c r="E29" s="27" t="s">
        <v>376</v>
      </c>
      <c r="F29" s="29" t="s">
        <v>49</v>
      </c>
      <c r="G29" s="43"/>
      <c r="H29" s="43"/>
      <c r="I29" s="43"/>
      <c r="J29" s="43"/>
      <c r="K29" s="43"/>
      <c r="L29" s="43"/>
      <c r="M29" s="26" t="s">
        <v>444</v>
      </c>
      <c r="N29" s="27" t="s">
        <v>447</v>
      </c>
      <c r="O29" s="29" t="s">
        <v>49</v>
      </c>
      <c r="P29" s="43"/>
      <c r="Q29" s="43"/>
      <c r="R29" s="43"/>
    </row>
  </sheetData>
  <mergeCells count="7">
    <mergeCell ref="A1:R1"/>
    <mergeCell ref="A2:C2"/>
    <mergeCell ref="D2:F2"/>
    <mergeCell ref="G2:I2"/>
    <mergeCell ref="J2:L2"/>
    <mergeCell ref="M2:O2"/>
    <mergeCell ref="P2:R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</row>
    <row r="2">
      <c r="A2" s="9" t="s">
        <v>2</v>
      </c>
      <c r="B2" s="12"/>
      <c r="C2" s="14"/>
      <c r="D2" s="18" t="s">
        <v>4</v>
      </c>
      <c r="E2" s="12"/>
      <c r="F2" s="14"/>
      <c r="G2" s="22" t="s">
        <v>5</v>
      </c>
      <c r="H2" s="12"/>
      <c r="I2" s="14"/>
      <c r="J2" s="25" t="s">
        <v>7</v>
      </c>
      <c r="K2" s="12"/>
      <c r="L2" s="14"/>
      <c r="M2" s="32" t="s">
        <v>8</v>
      </c>
      <c r="N2" s="12"/>
      <c r="O2" s="14"/>
      <c r="P2" s="33" t="s">
        <v>9</v>
      </c>
      <c r="Q2" s="12"/>
      <c r="R2" s="14"/>
    </row>
    <row r="3">
      <c r="A3" s="20" t="s">
        <v>10</v>
      </c>
      <c r="B3" s="20" t="s">
        <v>11</v>
      </c>
      <c r="C3" s="20" t="s">
        <v>12</v>
      </c>
      <c r="D3" s="20" t="s">
        <v>10</v>
      </c>
      <c r="E3" s="20" t="s">
        <v>11</v>
      </c>
      <c r="F3" s="20" t="s">
        <v>12</v>
      </c>
      <c r="G3" s="20" t="s">
        <v>10</v>
      </c>
      <c r="H3" s="20" t="s">
        <v>11</v>
      </c>
      <c r="I3" s="20" t="s">
        <v>12</v>
      </c>
      <c r="J3" s="20" t="s">
        <v>10</v>
      </c>
      <c r="K3" s="20" t="s">
        <v>11</v>
      </c>
      <c r="L3" s="20" t="s">
        <v>12</v>
      </c>
      <c r="M3" s="20" t="s">
        <v>10</v>
      </c>
      <c r="N3" s="20" t="s">
        <v>11</v>
      </c>
      <c r="O3" s="20" t="s">
        <v>12</v>
      </c>
      <c r="P3" s="20" t="s">
        <v>10</v>
      </c>
      <c r="Q3" s="20" t="s">
        <v>11</v>
      </c>
      <c r="R3" s="20" t="s">
        <v>12</v>
      </c>
    </row>
    <row r="4">
      <c r="A4" s="26" t="s">
        <v>112</v>
      </c>
      <c r="B4" s="27" t="s">
        <v>121</v>
      </c>
      <c r="C4" s="29">
        <v>2.0</v>
      </c>
      <c r="D4" s="26" t="s">
        <v>132</v>
      </c>
      <c r="E4" s="27" t="s">
        <v>138</v>
      </c>
      <c r="F4" s="29">
        <v>2.0</v>
      </c>
      <c r="G4" s="26" t="s">
        <v>144</v>
      </c>
      <c r="H4" s="27" t="s">
        <v>147</v>
      </c>
      <c r="I4" s="29">
        <v>2.0</v>
      </c>
      <c r="J4" s="26" t="s">
        <v>154</v>
      </c>
      <c r="K4" s="27" t="s">
        <v>158</v>
      </c>
      <c r="L4" s="29">
        <v>2.0</v>
      </c>
      <c r="M4" s="26" t="s">
        <v>163</v>
      </c>
      <c r="N4" s="27" t="s">
        <v>166</v>
      </c>
      <c r="O4" s="29">
        <v>2.0</v>
      </c>
      <c r="P4" s="26" t="s">
        <v>172</v>
      </c>
      <c r="Q4" s="27" t="s">
        <v>176</v>
      </c>
      <c r="R4" s="29" t="s">
        <v>180</v>
      </c>
    </row>
    <row r="5">
      <c r="A5" s="26" t="s">
        <v>187</v>
      </c>
      <c r="B5" s="27" t="s">
        <v>190</v>
      </c>
      <c r="C5" s="29">
        <v>2.0</v>
      </c>
      <c r="D5" s="26" t="s">
        <v>193</v>
      </c>
      <c r="E5" s="27" t="s">
        <v>196</v>
      </c>
      <c r="F5" s="29">
        <v>2.0</v>
      </c>
      <c r="G5" s="26" t="s">
        <v>202</v>
      </c>
      <c r="H5" s="27" t="s">
        <v>206</v>
      </c>
      <c r="I5" s="29">
        <v>2.0</v>
      </c>
      <c r="J5" s="26" t="s">
        <v>211</v>
      </c>
      <c r="K5" s="27" t="s">
        <v>214</v>
      </c>
      <c r="L5" s="29">
        <v>2.0</v>
      </c>
      <c r="M5" s="26" t="s">
        <v>217</v>
      </c>
      <c r="N5" s="27" t="s">
        <v>220</v>
      </c>
      <c r="O5" s="29">
        <v>2.0</v>
      </c>
      <c r="P5" s="26" t="s">
        <v>224</v>
      </c>
      <c r="Q5" s="27" t="s">
        <v>229</v>
      </c>
      <c r="R5" s="29" t="s">
        <v>180</v>
      </c>
    </row>
    <row r="6">
      <c r="A6" s="26" t="s">
        <v>233</v>
      </c>
      <c r="B6" s="27" t="s">
        <v>196</v>
      </c>
      <c r="C6" s="29">
        <v>2.0</v>
      </c>
      <c r="D6" s="26" t="s">
        <v>238</v>
      </c>
      <c r="E6" s="27" t="s">
        <v>121</v>
      </c>
      <c r="F6" s="29">
        <v>2.0</v>
      </c>
      <c r="G6" s="26" t="s">
        <v>245</v>
      </c>
      <c r="H6" s="27" t="s">
        <v>248</v>
      </c>
      <c r="I6" s="29">
        <v>2.0</v>
      </c>
      <c r="J6" s="26" t="s">
        <v>254</v>
      </c>
      <c r="K6" s="27" t="s">
        <v>257</v>
      </c>
      <c r="L6" s="29">
        <v>2.0</v>
      </c>
      <c r="M6" s="26" t="s">
        <v>262</v>
      </c>
      <c r="N6" s="27" t="s">
        <v>265</v>
      </c>
      <c r="O6" s="29">
        <v>2.0</v>
      </c>
      <c r="P6" s="26" t="s">
        <v>270</v>
      </c>
      <c r="Q6" s="27" t="s">
        <v>272</v>
      </c>
      <c r="R6" s="29" t="s">
        <v>180</v>
      </c>
    </row>
    <row r="7">
      <c r="A7" s="26" t="s">
        <v>277</v>
      </c>
      <c r="B7" s="27" t="s">
        <v>281</v>
      </c>
      <c r="C7" s="29">
        <v>2.0</v>
      </c>
      <c r="D7" s="26" t="s">
        <v>287</v>
      </c>
      <c r="E7" s="27" t="s">
        <v>214</v>
      </c>
      <c r="F7" s="29">
        <v>2.0</v>
      </c>
      <c r="G7" s="26" t="s">
        <v>296</v>
      </c>
      <c r="H7" s="27" t="s">
        <v>299</v>
      </c>
      <c r="I7" s="29">
        <v>2.0</v>
      </c>
      <c r="J7" s="26" t="s">
        <v>305</v>
      </c>
      <c r="K7" s="27" t="s">
        <v>308</v>
      </c>
      <c r="L7" s="29">
        <v>2.0</v>
      </c>
      <c r="M7" s="26" t="s">
        <v>312</v>
      </c>
      <c r="N7" s="27" t="s">
        <v>316</v>
      </c>
      <c r="O7" s="29">
        <v>2.0</v>
      </c>
      <c r="P7" s="26" t="s">
        <v>322</v>
      </c>
      <c r="Q7" s="27" t="s">
        <v>325</v>
      </c>
      <c r="R7" s="29" t="s">
        <v>180</v>
      </c>
    </row>
    <row r="8">
      <c r="A8" s="26" t="s">
        <v>329</v>
      </c>
      <c r="B8" s="27" t="s">
        <v>332</v>
      </c>
      <c r="C8" s="29">
        <v>2.0</v>
      </c>
      <c r="D8" s="26" t="s">
        <v>334</v>
      </c>
      <c r="E8" s="27" t="s">
        <v>335</v>
      </c>
      <c r="F8" s="29">
        <v>2.0</v>
      </c>
      <c r="G8" s="26" t="s">
        <v>336</v>
      </c>
      <c r="H8" s="27" t="s">
        <v>337</v>
      </c>
      <c r="I8" s="29">
        <v>2.0</v>
      </c>
      <c r="J8" s="26" t="s">
        <v>339</v>
      </c>
      <c r="K8" s="27" t="s">
        <v>248</v>
      </c>
      <c r="L8" s="29">
        <v>2.0</v>
      </c>
      <c r="M8" s="26" t="s">
        <v>342</v>
      </c>
      <c r="N8" s="27" t="s">
        <v>345</v>
      </c>
      <c r="O8" s="29">
        <v>2.0</v>
      </c>
      <c r="P8" s="26" t="s">
        <v>348</v>
      </c>
      <c r="Q8" s="27" t="s">
        <v>350</v>
      </c>
      <c r="R8" s="29" t="s">
        <v>180</v>
      </c>
    </row>
    <row r="9">
      <c r="A9" s="26" t="s">
        <v>354</v>
      </c>
      <c r="B9" s="27" t="s">
        <v>356</v>
      </c>
      <c r="C9" s="29">
        <v>2.0</v>
      </c>
      <c r="D9" s="26" t="s">
        <v>360</v>
      </c>
      <c r="E9" s="27" t="s">
        <v>248</v>
      </c>
      <c r="F9" s="29">
        <v>2.0</v>
      </c>
      <c r="G9" s="26" t="s">
        <v>365</v>
      </c>
      <c r="H9" s="27" t="s">
        <v>368</v>
      </c>
      <c r="I9" s="29">
        <v>2.0</v>
      </c>
      <c r="J9" s="26" t="s">
        <v>373</v>
      </c>
      <c r="K9" s="27" t="s">
        <v>299</v>
      </c>
      <c r="L9" s="29">
        <v>2.0</v>
      </c>
      <c r="M9" s="26" t="s">
        <v>378</v>
      </c>
      <c r="N9" s="27" t="s">
        <v>248</v>
      </c>
      <c r="O9" s="29">
        <v>2.0</v>
      </c>
      <c r="P9" s="26" t="s">
        <v>385</v>
      </c>
      <c r="Q9" s="27" t="s">
        <v>386</v>
      </c>
      <c r="R9" s="29" t="s">
        <v>180</v>
      </c>
    </row>
    <row r="10">
      <c r="A10" s="26" t="s">
        <v>392</v>
      </c>
      <c r="B10" s="27" t="s">
        <v>395</v>
      </c>
      <c r="C10" s="29">
        <v>2.0</v>
      </c>
      <c r="D10" s="26" t="s">
        <v>398</v>
      </c>
      <c r="E10" s="27" t="s">
        <v>399</v>
      </c>
      <c r="F10" s="29">
        <v>2.0</v>
      </c>
      <c r="G10" s="26" t="s">
        <v>404</v>
      </c>
      <c r="H10" s="27" t="s">
        <v>407</v>
      </c>
      <c r="I10" s="29">
        <v>2.0</v>
      </c>
      <c r="J10" s="26" t="s">
        <v>410</v>
      </c>
      <c r="K10" s="27" t="s">
        <v>337</v>
      </c>
      <c r="L10" s="29">
        <v>2.0</v>
      </c>
      <c r="M10" s="26" t="s">
        <v>415</v>
      </c>
      <c r="N10" s="27" t="s">
        <v>337</v>
      </c>
      <c r="O10" s="29">
        <v>2.0</v>
      </c>
      <c r="P10" s="26" t="s">
        <v>420</v>
      </c>
      <c r="Q10" s="27" t="s">
        <v>422</v>
      </c>
      <c r="R10" s="29" t="s">
        <v>180</v>
      </c>
    </row>
    <row r="11">
      <c r="A11" s="26" t="s">
        <v>425</v>
      </c>
      <c r="B11" s="27" t="s">
        <v>426</v>
      </c>
      <c r="C11" s="29">
        <v>3.0</v>
      </c>
      <c r="D11" s="26" t="s">
        <v>428</v>
      </c>
      <c r="E11" s="27" t="s">
        <v>281</v>
      </c>
      <c r="F11" s="29">
        <v>2.0</v>
      </c>
      <c r="G11" s="26" t="s">
        <v>431</v>
      </c>
      <c r="H11" s="27" t="s">
        <v>432</v>
      </c>
      <c r="I11" s="29">
        <v>2.0</v>
      </c>
      <c r="J11" s="26" t="s">
        <v>434</v>
      </c>
      <c r="K11" s="27" t="s">
        <v>368</v>
      </c>
      <c r="L11" s="29">
        <v>2.0</v>
      </c>
      <c r="M11" s="26" t="s">
        <v>438</v>
      </c>
      <c r="N11" s="27" t="s">
        <v>368</v>
      </c>
      <c r="O11" s="29">
        <v>2.0</v>
      </c>
      <c r="P11" s="26" t="s">
        <v>441</v>
      </c>
      <c r="Q11" s="27" t="s">
        <v>442</v>
      </c>
      <c r="R11" s="29" t="s">
        <v>180</v>
      </c>
    </row>
    <row r="12">
      <c r="A12" s="26" t="s">
        <v>445</v>
      </c>
      <c r="B12" s="27" t="s">
        <v>448</v>
      </c>
      <c r="C12" s="29">
        <v>2.0</v>
      </c>
      <c r="D12" s="26" t="s">
        <v>449</v>
      </c>
      <c r="E12" s="27" t="s">
        <v>451</v>
      </c>
      <c r="F12" s="29">
        <v>2.0</v>
      </c>
      <c r="G12" s="26" t="s">
        <v>452</v>
      </c>
      <c r="H12" s="27" t="s">
        <v>453</v>
      </c>
      <c r="I12" s="29">
        <v>2.0</v>
      </c>
      <c r="J12" s="26" t="s">
        <v>454</v>
      </c>
      <c r="K12" s="27" t="s">
        <v>455</v>
      </c>
      <c r="L12" s="29">
        <v>2.0</v>
      </c>
      <c r="M12" s="26" t="s">
        <v>456</v>
      </c>
      <c r="N12" s="27" t="s">
        <v>457</v>
      </c>
      <c r="O12" s="29">
        <v>2.0</v>
      </c>
      <c r="P12" s="26" t="s">
        <v>458</v>
      </c>
      <c r="Q12" s="27" t="s">
        <v>459</v>
      </c>
      <c r="R12" s="29" t="s">
        <v>180</v>
      </c>
    </row>
    <row r="13">
      <c r="A13" s="26" t="s">
        <v>460</v>
      </c>
      <c r="B13" s="27" t="s">
        <v>461</v>
      </c>
      <c r="C13" s="29">
        <v>2.0</v>
      </c>
      <c r="D13" s="26" t="s">
        <v>462</v>
      </c>
      <c r="E13" s="27" t="s">
        <v>463</v>
      </c>
      <c r="F13" s="29">
        <v>2.0</v>
      </c>
      <c r="G13" s="26" t="s">
        <v>464</v>
      </c>
      <c r="H13" s="27" t="s">
        <v>455</v>
      </c>
      <c r="I13" s="29">
        <v>2.0</v>
      </c>
      <c r="J13" s="26" t="s">
        <v>465</v>
      </c>
      <c r="K13" s="27" t="s">
        <v>466</v>
      </c>
      <c r="L13" s="29">
        <v>2.0</v>
      </c>
      <c r="M13" s="26" t="s">
        <v>468</v>
      </c>
      <c r="N13" s="27" t="s">
        <v>432</v>
      </c>
      <c r="O13" s="29">
        <v>2.0</v>
      </c>
      <c r="P13" s="26" t="s">
        <v>469</v>
      </c>
      <c r="Q13" s="27" t="s">
        <v>470</v>
      </c>
      <c r="R13" s="29" t="s">
        <v>180</v>
      </c>
    </row>
    <row r="14">
      <c r="A14" s="26" t="s">
        <v>471</v>
      </c>
      <c r="B14" s="27" t="s">
        <v>472</v>
      </c>
      <c r="C14" s="29">
        <v>2.0</v>
      </c>
      <c r="D14" s="26" t="s">
        <v>473</v>
      </c>
      <c r="E14" s="27" t="s">
        <v>474</v>
      </c>
      <c r="F14" s="29">
        <v>2.0</v>
      </c>
      <c r="G14" s="26" t="s">
        <v>475</v>
      </c>
      <c r="H14" s="27" t="s">
        <v>466</v>
      </c>
      <c r="I14" s="29">
        <v>2.0</v>
      </c>
      <c r="J14" s="26" t="s">
        <v>476</v>
      </c>
      <c r="K14" s="27" t="s">
        <v>477</v>
      </c>
      <c r="L14" s="29">
        <v>2.0</v>
      </c>
      <c r="M14" s="26" t="s">
        <v>478</v>
      </c>
      <c r="N14" s="27" t="s">
        <v>453</v>
      </c>
      <c r="O14" s="29">
        <v>2.0</v>
      </c>
      <c r="P14" s="43"/>
      <c r="Q14" s="43"/>
      <c r="R14" s="43"/>
    </row>
    <row r="15">
      <c r="A15" s="26" t="s">
        <v>480</v>
      </c>
      <c r="B15" s="27" t="s">
        <v>481</v>
      </c>
      <c r="C15" s="29">
        <v>2.0</v>
      </c>
      <c r="D15" s="26" t="s">
        <v>482</v>
      </c>
      <c r="E15" s="27" t="s">
        <v>483</v>
      </c>
      <c r="F15" s="29">
        <v>2.0</v>
      </c>
      <c r="G15" s="26" t="s">
        <v>484</v>
      </c>
      <c r="H15" s="27" t="s">
        <v>463</v>
      </c>
      <c r="I15" s="29">
        <v>2.0</v>
      </c>
      <c r="J15" s="26" t="s">
        <v>485</v>
      </c>
      <c r="K15" s="27" t="s">
        <v>486</v>
      </c>
      <c r="L15" s="29">
        <v>2.0</v>
      </c>
      <c r="M15" s="26" t="s">
        <v>487</v>
      </c>
      <c r="N15" s="27" t="s">
        <v>455</v>
      </c>
      <c r="O15" s="29">
        <v>2.0</v>
      </c>
      <c r="P15" s="43"/>
      <c r="Q15" s="43"/>
      <c r="R15" s="43"/>
    </row>
    <row r="16">
      <c r="A16" s="26" t="s">
        <v>488</v>
      </c>
      <c r="B16" s="27" t="s">
        <v>489</v>
      </c>
      <c r="C16" s="29">
        <v>2.0</v>
      </c>
      <c r="D16" s="26" t="s">
        <v>490</v>
      </c>
      <c r="E16" s="27" t="s">
        <v>491</v>
      </c>
      <c r="F16" s="29">
        <v>2.0</v>
      </c>
      <c r="G16" s="26" t="s">
        <v>492</v>
      </c>
      <c r="H16" s="27" t="s">
        <v>493</v>
      </c>
      <c r="I16" s="29">
        <v>2.0</v>
      </c>
      <c r="J16" s="26" t="s">
        <v>495</v>
      </c>
      <c r="K16" s="27" t="s">
        <v>496</v>
      </c>
      <c r="L16" s="29">
        <v>2.0</v>
      </c>
      <c r="M16" s="26" t="s">
        <v>497</v>
      </c>
      <c r="N16" s="27" t="s">
        <v>466</v>
      </c>
      <c r="O16" s="29">
        <v>2.0</v>
      </c>
      <c r="P16" s="43"/>
      <c r="Q16" s="43"/>
      <c r="R16" s="43"/>
    </row>
    <row r="17">
      <c r="A17" s="26" t="s">
        <v>498</v>
      </c>
      <c r="B17" s="27" t="s">
        <v>138</v>
      </c>
      <c r="C17" s="29">
        <v>2.0</v>
      </c>
      <c r="D17" s="26" t="s">
        <v>499</v>
      </c>
      <c r="E17" s="27" t="s">
        <v>500</v>
      </c>
      <c r="F17" s="29">
        <v>2.0</v>
      </c>
      <c r="G17" s="26" t="s">
        <v>501</v>
      </c>
      <c r="H17" s="27" t="s">
        <v>502</v>
      </c>
      <c r="I17" s="29">
        <v>2.0</v>
      </c>
      <c r="J17" s="26" t="s">
        <v>503</v>
      </c>
      <c r="K17" s="27" t="s">
        <v>504</v>
      </c>
      <c r="L17" s="29">
        <v>2.0</v>
      </c>
      <c r="M17" s="26" t="s">
        <v>505</v>
      </c>
      <c r="N17" s="27" t="s">
        <v>506</v>
      </c>
      <c r="O17" s="29">
        <v>2.0</v>
      </c>
      <c r="P17" s="43"/>
      <c r="Q17" s="43"/>
      <c r="R17" s="43"/>
    </row>
    <row r="18">
      <c r="A18" s="26" t="s">
        <v>508</v>
      </c>
      <c r="B18" s="27" t="s">
        <v>509</v>
      </c>
      <c r="C18" s="29">
        <v>2.0</v>
      </c>
      <c r="D18" s="26" t="s">
        <v>510</v>
      </c>
      <c r="E18" s="27" t="s">
        <v>511</v>
      </c>
      <c r="F18" s="29">
        <v>2.0</v>
      </c>
      <c r="G18" s="26" t="s">
        <v>512</v>
      </c>
      <c r="H18" s="27" t="s">
        <v>513</v>
      </c>
      <c r="I18" s="29">
        <v>2.0</v>
      </c>
      <c r="J18" s="26" t="s">
        <v>514</v>
      </c>
      <c r="K18" s="27" t="s">
        <v>515</v>
      </c>
      <c r="L18" s="29">
        <v>2.0</v>
      </c>
      <c r="M18" s="26" t="s">
        <v>516</v>
      </c>
      <c r="N18" s="27" t="s">
        <v>463</v>
      </c>
      <c r="O18" s="29">
        <v>2.0</v>
      </c>
      <c r="P18" s="43"/>
      <c r="Q18" s="43"/>
      <c r="R18" s="43"/>
    </row>
    <row r="19">
      <c r="A19" s="26" t="s">
        <v>517</v>
      </c>
      <c r="B19" s="27" t="s">
        <v>518</v>
      </c>
      <c r="C19" s="29">
        <v>2.0</v>
      </c>
      <c r="D19" s="26" t="s">
        <v>519</v>
      </c>
      <c r="E19" s="27" t="s">
        <v>520</v>
      </c>
      <c r="F19" s="29">
        <v>2.0</v>
      </c>
      <c r="G19" s="26" t="s">
        <v>522</v>
      </c>
      <c r="H19" s="27" t="s">
        <v>523</v>
      </c>
      <c r="I19" s="29">
        <v>2.0</v>
      </c>
      <c r="J19" s="26" t="s">
        <v>524</v>
      </c>
      <c r="K19" s="27" t="s">
        <v>525</v>
      </c>
      <c r="L19" s="29">
        <v>2.0</v>
      </c>
      <c r="M19" s="26" t="s">
        <v>526</v>
      </c>
      <c r="N19" s="27" t="s">
        <v>493</v>
      </c>
      <c r="O19" s="29">
        <v>2.0</v>
      </c>
      <c r="P19" s="43"/>
      <c r="Q19" s="43"/>
      <c r="R19" s="43"/>
    </row>
    <row r="20">
      <c r="A20" s="26" t="s">
        <v>527</v>
      </c>
      <c r="B20" s="27" t="s">
        <v>511</v>
      </c>
      <c r="C20" s="29">
        <v>2.0</v>
      </c>
      <c r="D20" s="26" t="s">
        <v>528</v>
      </c>
      <c r="E20" s="27" t="s">
        <v>529</v>
      </c>
      <c r="F20" s="29">
        <v>2.0</v>
      </c>
      <c r="G20" s="26" t="s">
        <v>530</v>
      </c>
      <c r="H20" s="27" t="s">
        <v>520</v>
      </c>
      <c r="I20" s="29">
        <v>2.0</v>
      </c>
      <c r="J20" s="26" t="s">
        <v>531</v>
      </c>
      <c r="K20" s="27" t="s">
        <v>463</v>
      </c>
      <c r="L20" s="29">
        <v>2.0</v>
      </c>
      <c r="M20" s="26" t="s">
        <v>532</v>
      </c>
      <c r="N20" s="27" t="s">
        <v>502</v>
      </c>
      <c r="O20" s="29">
        <v>2.0</v>
      </c>
      <c r="P20" s="43"/>
      <c r="Q20" s="43"/>
      <c r="R20" s="43"/>
    </row>
    <row r="21">
      <c r="A21" s="43"/>
      <c r="B21" s="43"/>
      <c r="C21" s="43"/>
      <c r="D21" s="26" t="s">
        <v>534</v>
      </c>
      <c r="E21" s="27" t="s">
        <v>535</v>
      </c>
      <c r="F21" s="29">
        <v>2.0</v>
      </c>
      <c r="G21" s="26" t="s">
        <v>536</v>
      </c>
      <c r="H21" s="27" t="s">
        <v>537</v>
      </c>
      <c r="I21" s="29">
        <v>2.0</v>
      </c>
      <c r="J21" s="26" t="s">
        <v>538</v>
      </c>
      <c r="K21" s="27" t="s">
        <v>493</v>
      </c>
      <c r="L21" s="29">
        <v>2.0</v>
      </c>
      <c r="M21" s="26" t="s">
        <v>539</v>
      </c>
      <c r="N21" s="27" t="s">
        <v>513</v>
      </c>
      <c r="O21" s="29">
        <v>2.0</v>
      </c>
      <c r="P21" s="43"/>
      <c r="Q21" s="43"/>
      <c r="R21" s="43"/>
    </row>
    <row r="22">
      <c r="A22" s="43"/>
      <c r="B22" s="43"/>
      <c r="C22" s="43"/>
      <c r="D22" s="26" t="s">
        <v>541</v>
      </c>
      <c r="E22" s="27" t="s">
        <v>542</v>
      </c>
      <c r="F22" s="29">
        <v>2.0</v>
      </c>
      <c r="G22" s="26" t="s">
        <v>543</v>
      </c>
      <c r="H22" s="27" t="s">
        <v>544</v>
      </c>
      <c r="I22" s="29">
        <v>2.0</v>
      </c>
      <c r="J22" s="26" t="s">
        <v>545</v>
      </c>
      <c r="K22" s="27" t="s">
        <v>502</v>
      </c>
      <c r="L22" s="29">
        <v>2.0</v>
      </c>
      <c r="M22" s="26" t="s">
        <v>546</v>
      </c>
      <c r="N22" s="27" t="s">
        <v>547</v>
      </c>
      <c r="O22" s="29">
        <v>2.0</v>
      </c>
      <c r="P22" s="43"/>
      <c r="Q22" s="43"/>
      <c r="R22" s="43"/>
    </row>
    <row r="23">
      <c r="A23" s="43"/>
      <c r="B23" s="43"/>
      <c r="C23" s="43"/>
      <c r="D23" s="26" t="s">
        <v>548</v>
      </c>
      <c r="E23" s="27" t="s">
        <v>549</v>
      </c>
      <c r="F23" s="29" t="s">
        <v>140</v>
      </c>
      <c r="G23" s="26" t="s">
        <v>550</v>
      </c>
      <c r="H23" s="27" t="s">
        <v>529</v>
      </c>
      <c r="I23" s="29">
        <v>2.0</v>
      </c>
      <c r="J23" s="26" t="s">
        <v>551</v>
      </c>
      <c r="K23" s="27" t="s">
        <v>513</v>
      </c>
      <c r="L23" s="29">
        <v>2.0</v>
      </c>
      <c r="M23" s="26" t="s">
        <v>552</v>
      </c>
      <c r="N23" s="27" t="s">
        <v>553</v>
      </c>
      <c r="O23" s="29">
        <v>2.0</v>
      </c>
      <c r="P23" s="43"/>
      <c r="Q23" s="43"/>
      <c r="R23" s="43"/>
    </row>
    <row r="24">
      <c r="A24" s="43"/>
      <c r="B24" s="43"/>
      <c r="C24" s="43"/>
      <c r="D24" s="43"/>
      <c r="E24" s="43"/>
      <c r="F24" s="43"/>
      <c r="G24" s="26" t="s">
        <v>555</v>
      </c>
      <c r="H24" s="27" t="s">
        <v>556</v>
      </c>
      <c r="I24" s="29">
        <v>2.0</v>
      </c>
      <c r="J24" s="26" t="s">
        <v>557</v>
      </c>
      <c r="K24" s="27" t="s">
        <v>558</v>
      </c>
      <c r="L24" s="29">
        <v>2.0</v>
      </c>
      <c r="M24" s="26" t="s">
        <v>559</v>
      </c>
      <c r="N24" s="27" t="s">
        <v>560</v>
      </c>
      <c r="O24" s="29">
        <v>2.0</v>
      </c>
      <c r="P24" s="43"/>
      <c r="Q24" s="43"/>
      <c r="R24" s="43"/>
    </row>
    <row r="25">
      <c r="A25" s="43"/>
      <c r="B25" s="43"/>
      <c r="C25" s="43"/>
      <c r="D25" s="43"/>
      <c r="E25" s="43"/>
      <c r="F25" s="43"/>
      <c r="G25" s="26" t="s">
        <v>561</v>
      </c>
      <c r="H25" s="27" t="s">
        <v>562</v>
      </c>
      <c r="I25" s="29">
        <v>2.0</v>
      </c>
      <c r="J25" s="26" t="s">
        <v>563</v>
      </c>
      <c r="K25" s="27" t="s">
        <v>564</v>
      </c>
      <c r="L25" s="29">
        <v>2.0</v>
      </c>
      <c r="M25" s="26" t="s">
        <v>565</v>
      </c>
      <c r="N25" s="27" t="s">
        <v>566</v>
      </c>
      <c r="O25" s="29">
        <v>2.0</v>
      </c>
      <c r="P25" s="43"/>
      <c r="Q25" s="43"/>
      <c r="R25" s="43"/>
    </row>
    <row r="26">
      <c r="A26" s="43"/>
      <c r="B26" s="43"/>
      <c r="C26" s="43"/>
      <c r="D26" s="43"/>
      <c r="E26" s="43"/>
      <c r="F26" s="43"/>
      <c r="G26" s="26" t="s">
        <v>568</v>
      </c>
      <c r="H26" s="27" t="s">
        <v>569</v>
      </c>
      <c r="I26" s="29" t="s">
        <v>140</v>
      </c>
      <c r="J26" s="26" t="s">
        <v>570</v>
      </c>
      <c r="K26" s="27" t="s">
        <v>520</v>
      </c>
      <c r="L26" s="29">
        <v>2.0</v>
      </c>
      <c r="M26" s="26" t="s">
        <v>571</v>
      </c>
      <c r="N26" s="27" t="s">
        <v>572</v>
      </c>
      <c r="O26" s="29">
        <v>2.0</v>
      </c>
      <c r="P26" s="43"/>
      <c r="Q26" s="43"/>
      <c r="R26" s="43"/>
    </row>
    <row r="27">
      <c r="A27" s="43"/>
      <c r="B27" s="43"/>
      <c r="C27" s="43"/>
      <c r="D27" s="43"/>
      <c r="E27" s="43"/>
      <c r="F27" s="43"/>
      <c r="G27" s="26" t="s">
        <v>573</v>
      </c>
      <c r="H27" s="27" t="s">
        <v>574</v>
      </c>
      <c r="I27" s="29" t="s">
        <v>140</v>
      </c>
      <c r="J27" s="26" t="s">
        <v>575</v>
      </c>
      <c r="K27" s="27" t="s">
        <v>576</v>
      </c>
      <c r="L27" s="29">
        <v>2.0</v>
      </c>
      <c r="M27" s="26" t="s">
        <v>577</v>
      </c>
      <c r="N27" s="27" t="s">
        <v>578</v>
      </c>
      <c r="O27" s="29">
        <v>2.0</v>
      </c>
      <c r="P27" s="43"/>
      <c r="Q27" s="43"/>
      <c r="R27" s="43"/>
    </row>
    <row r="28">
      <c r="A28" s="43"/>
      <c r="B28" s="43"/>
      <c r="C28" s="43"/>
      <c r="D28" s="43"/>
      <c r="E28" s="43"/>
      <c r="F28" s="43"/>
      <c r="G28" s="43"/>
      <c r="H28" s="43"/>
      <c r="I28" s="43"/>
      <c r="J28" s="26" t="s">
        <v>580</v>
      </c>
      <c r="K28" s="27" t="s">
        <v>581</v>
      </c>
      <c r="L28" s="29">
        <v>2.0</v>
      </c>
      <c r="M28" s="26" t="s">
        <v>582</v>
      </c>
      <c r="N28" s="27" t="s">
        <v>583</v>
      </c>
      <c r="O28" s="29">
        <v>2.0</v>
      </c>
      <c r="P28" s="43"/>
      <c r="Q28" s="43"/>
      <c r="R28" s="43"/>
    </row>
    <row r="29">
      <c r="A29" s="43"/>
      <c r="B29" s="43"/>
      <c r="C29" s="43"/>
      <c r="D29" s="43"/>
      <c r="E29" s="43"/>
      <c r="F29" s="43"/>
      <c r="G29" s="43"/>
      <c r="H29" s="43"/>
      <c r="I29" s="43"/>
      <c r="J29" s="26" t="s">
        <v>584</v>
      </c>
      <c r="K29" s="27" t="s">
        <v>585</v>
      </c>
      <c r="L29" s="29">
        <v>2.0</v>
      </c>
      <c r="M29" s="26" t="s">
        <v>586</v>
      </c>
      <c r="N29" s="27" t="s">
        <v>587</v>
      </c>
      <c r="O29" s="29">
        <v>2.0</v>
      </c>
      <c r="P29" s="43"/>
      <c r="Q29" s="43"/>
      <c r="R29" s="43"/>
    </row>
    <row r="30">
      <c r="A30" s="43"/>
      <c r="B30" s="43"/>
      <c r="C30" s="43"/>
      <c r="D30" s="43"/>
      <c r="E30" s="43"/>
      <c r="F30" s="43"/>
      <c r="G30" s="43"/>
      <c r="H30" s="43"/>
      <c r="I30" s="43"/>
      <c r="J30" s="26" t="s">
        <v>588</v>
      </c>
      <c r="K30" s="27" t="s">
        <v>589</v>
      </c>
      <c r="L30" s="29">
        <v>2.0</v>
      </c>
      <c r="M30" s="26" t="s">
        <v>591</v>
      </c>
      <c r="N30" s="27" t="s">
        <v>592</v>
      </c>
      <c r="O30" s="29">
        <v>2.0</v>
      </c>
      <c r="P30" s="43"/>
      <c r="Q30" s="43"/>
      <c r="R30" s="43"/>
    </row>
    <row r="31">
      <c r="A31" s="43"/>
      <c r="B31" s="43"/>
      <c r="C31" s="43"/>
      <c r="D31" s="43"/>
      <c r="E31" s="30"/>
      <c r="F31" s="30"/>
      <c r="G31" s="43"/>
      <c r="H31" s="43"/>
      <c r="I31" s="43"/>
      <c r="J31" s="26" t="s">
        <v>593</v>
      </c>
      <c r="K31" s="27" t="s">
        <v>594</v>
      </c>
      <c r="L31" s="29" t="s">
        <v>140</v>
      </c>
      <c r="M31" s="26" t="s">
        <v>595</v>
      </c>
      <c r="N31" s="27" t="s">
        <v>596</v>
      </c>
      <c r="O31" s="29">
        <v>2.0</v>
      </c>
      <c r="P31" s="43"/>
      <c r="Q31" s="43"/>
      <c r="R31" s="43"/>
    </row>
    <row r="32">
      <c r="A32" s="43"/>
      <c r="B32" s="43"/>
      <c r="C32" s="43"/>
      <c r="D32" s="43"/>
      <c r="E32" s="30"/>
      <c r="F32" s="30"/>
      <c r="G32" s="43"/>
      <c r="H32" s="43"/>
      <c r="I32" s="43"/>
      <c r="J32" s="43"/>
      <c r="K32" s="43"/>
      <c r="L32" s="43"/>
      <c r="M32" s="26" t="s">
        <v>597</v>
      </c>
      <c r="N32" s="27" t="s">
        <v>598</v>
      </c>
      <c r="O32" s="29">
        <v>2.0</v>
      </c>
      <c r="P32" s="43"/>
      <c r="Q32" s="43"/>
      <c r="R32" s="43"/>
    </row>
    <row r="33">
      <c r="A33" s="43"/>
      <c r="B33" s="43"/>
      <c r="C33" s="43"/>
      <c r="D33" s="30"/>
      <c r="E33" s="30"/>
      <c r="F33" s="30"/>
      <c r="G33" s="43"/>
      <c r="H33" s="43"/>
      <c r="I33" s="43"/>
      <c r="J33" s="43"/>
      <c r="K33" s="43"/>
      <c r="L33" s="43"/>
      <c r="M33" s="26" t="s">
        <v>600</v>
      </c>
      <c r="N33" s="27" t="s">
        <v>601</v>
      </c>
      <c r="O33" s="29">
        <v>2.0</v>
      </c>
      <c r="P33" s="43"/>
      <c r="Q33" s="43"/>
      <c r="R33" s="43"/>
    </row>
    <row r="34">
      <c r="A34" s="43"/>
      <c r="B34" s="43"/>
      <c r="C34" s="43"/>
      <c r="D34" s="30"/>
      <c r="E34" s="30"/>
      <c r="F34" s="30"/>
      <c r="G34" s="43"/>
      <c r="H34" s="43"/>
      <c r="I34" s="43"/>
      <c r="J34" s="43"/>
      <c r="K34" s="43"/>
      <c r="L34" s="43"/>
      <c r="M34" s="26" t="s">
        <v>602</v>
      </c>
      <c r="N34" s="27" t="s">
        <v>603</v>
      </c>
      <c r="O34" s="29">
        <v>2.0</v>
      </c>
      <c r="P34" s="43"/>
      <c r="Q34" s="43"/>
      <c r="R34" s="43"/>
    </row>
    <row r="35">
      <c r="A35" s="43"/>
      <c r="B35" s="30"/>
      <c r="C35" s="30"/>
      <c r="D35" s="30"/>
      <c r="E35" s="30"/>
      <c r="F35" s="30"/>
      <c r="G35" s="43"/>
      <c r="H35" s="43"/>
      <c r="I35" s="43"/>
      <c r="J35" s="43"/>
      <c r="K35" s="30"/>
      <c r="L35" s="30"/>
      <c r="M35" s="26" t="s">
        <v>604</v>
      </c>
      <c r="N35" s="27" t="s">
        <v>605</v>
      </c>
      <c r="O35" s="29" t="s">
        <v>140</v>
      </c>
      <c r="P35" s="43"/>
      <c r="Q35" s="43"/>
      <c r="R35" s="43"/>
    </row>
    <row r="36">
      <c r="A36" s="30"/>
      <c r="B36" s="30"/>
      <c r="C36" s="30"/>
      <c r="D36" s="30"/>
      <c r="E36" s="30"/>
      <c r="F36" s="30"/>
      <c r="G36" s="43"/>
      <c r="H36" s="43"/>
      <c r="I36" s="43"/>
      <c r="J36" s="43"/>
      <c r="K36" s="30"/>
      <c r="L36" s="30"/>
      <c r="M36" s="26" t="s">
        <v>606</v>
      </c>
      <c r="N36" s="27" t="s">
        <v>607</v>
      </c>
      <c r="O36" s="29" t="s">
        <v>117</v>
      </c>
      <c r="P36" s="43"/>
      <c r="Q36" s="43"/>
      <c r="R36" s="43"/>
    </row>
  </sheetData>
  <mergeCells count="7">
    <mergeCell ref="A1:R1"/>
    <mergeCell ref="A2:C2"/>
    <mergeCell ref="D2:F2"/>
    <mergeCell ref="G2:I2"/>
    <mergeCell ref="J2:L2"/>
    <mergeCell ref="M2:O2"/>
    <mergeCell ref="P2:R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5.75"/>
    <col customWidth="1" min="2" max="2" width="27.5"/>
    <col customWidth="1" min="3" max="3" width="6.0"/>
    <col customWidth="1" min="4" max="4" width="15.38"/>
    <col customWidth="1" min="5" max="5" width="11.88"/>
    <col customWidth="1" min="6" max="6" width="6.88"/>
    <col customWidth="1" min="7" max="8" width="7.63"/>
    <col customWidth="1" min="9" max="9" width="10.5"/>
    <col customWidth="1" min="10" max="10" width="12.75"/>
    <col customWidth="1" min="11" max="11" width="10.13"/>
    <col customWidth="1" min="12" max="12" width="9.25"/>
    <col customWidth="1" min="13" max="13" width="12.63"/>
    <col customWidth="1" min="14" max="22" width="5.38"/>
    <col customWidth="1" min="23" max="23" width="6.25"/>
    <col customWidth="1" min="24" max="28" width="5.75"/>
    <col customWidth="1" min="29" max="29" width="20.13"/>
  </cols>
  <sheetData>
    <row r="1">
      <c r="A1" s="71" t="s">
        <v>625</v>
      </c>
      <c r="B1" s="71" t="s">
        <v>107</v>
      </c>
      <c r="C1" s="71" t="s">
        <v>125</v>
      </c>
      <c r="D1" s="71" t="s">
        <v>626</v>
      </c>
      <c r="E1" s="71" t="s">
        <v>119</v>
      </c>
      <c r="F1" s="71" t="s">
        <v>627</v>
      </c>
      <c r="G1" s="71" t="s">
        <v>628</v>
      </c>
      <c r="H1" s="71" t="s">
        <v>629</v>
      </c>
      <c r="I1" s="71" t="s">
        <v>630</v>
      </c>
      <c r="J1" s="71" t="s">
        <v>631</v>
      </c>
      <c r="K1" s="71" t="s">
        <v>632</v>
      </c>
      <c r="L1" s="71" t="s">
        <v>633</v>
      </c>
      <c r="M1" s="71" t="s">
        <v>634</v>
      </c>
      <c r="N1" s="72" t="s">
        <v>635</v>
      </c>
      <c r="O1" s="72" t="s">
        <v>636</v>
      </c>
      <c r="P1" s="72" t="s">
        <v>637</v>
      </c>
      <c r="Q1" s="72" t="s">
        <v>638</v>
      </c>
      <c r="R1" s="72" t="s">
        <v>639</v>
      </c>
      <c r="S1" s="72" t="s">
        <v>640</v>
      </c>
      <c r="T1" s="72" t="s">
        <v>641</v>
      </c>
      <c r="U1" s="72" t="s">
        <v>642</v>
      </c>
      <c r="V1" s="72" t="s">
        <v>643</v>
      </c>
      <c r="W1" s="72" t="s">
        <v>644</v>
      </c>
      <c r="X1" s="72" t="s">
        <v>645</v>
      </c>
      <c r="Y1" s="73" t="s">
        <v>646</v>
      </c>
      <c r="Z1" s="73" t="s">
        <v>648</v>
      </c>
      <c r="AA1" s="73" t="s">
        <v>649</v>
      </c>
      <c r="AB1" s="73" t="s">
        <v>650</v>
      </c>
      <c r="AC1" s="73" t="s">
        <v>651</v>
      </c>
    </row>
    <row r="2">
      <c r="A2" s="74">
        <v>67.0</v>
      </c>
      <c r="B2" s="74" t="s">
        <v>188</v>
      </c>
      <c r="C2" s="74">
        <v>10.0</v>
      </c>
      <c r="D2" s="74" t="s">
        <v>8</v>
      </c>
      <c r="E2" s="74" t="s">
        <v>195</v>
      </c>
      <c r="F2" s="74" t="s">
        <v>622</v>
      </c>
      <c r="G2" s="75">
        <f>SUMPRODUCT(COUNTIFS(PROGRAM_DIRECTORY!$A$2:$A$334, $N2:$AB2, PROGRAM_DIRECTORY!$D$2:$D$334, "Non-Stage", PROGRAM_DIRECTORY!$E$2:$E$334, "Individual"))</f>
        <v>0</v>
      </c>
      <c r="H2" s="75">
        <f>SUMPRODUCT(COUNTIFS(PROGRAM_DIRECTORY!$A$2:$A$334, $N2:$AB2, PROGRAM_DIRECTORY!$D$2:$D$334, "Stage", PROGRAM_DIRECTORY!$E$2:$E$334, "Individual"))</f>
        <v>0</v>
      </c>
      <c r="I2" s="75">
        <f>SUMPRODUCT(COUNTIFS(PROGRAM_DIRECTORY!$A$2:$A$334, $N2:$AB2, PROGRAM_DIRECTORY!$D$2:$D$334, "Sports"))</f>
        <v>0</v>
      </c>
      <c r="J2" s="75">
        <f>SUMPRODUCT(COUNTIFS(PROGRAM_DIRECTORY!$A$2:$A$334, $N2:$AB2, PROGRAM_DIRECTORY!$E$2:$E$334, "Individual"))</f>
        <v>0</v>
      </c>
      <c r="K2" s="75">
        <f>SUMPRODUCT(COUNTIFS(PROGRAM_DIRECTORY!$A$2:$A$334, $N2:$AB2, PROGRAM_DIRECTORY!$E$2:$E$334, "Group"))</f>
        <v>0</v>
      </c>
      <c r="L2" s="75">
        <f t="shared" ref="L2:L294" si="1">COUNTIF($N2:$AB2, "&lt;&gt;")</f>
        <v>0</v>
      </c>
      <c r="M2" s="75" t="str">
        <f t="shared" ref="M2:M294" si="2">IF($F2&lt;&gt;"Active", "Inactive Student", IF($J2&gt;IF(OR($D2="BIDĀYAH", $D2="BIDAYAH"), 12, IF(OR($D2="THĀNAWIYYAH", $D2="THANAWIYYAH"), 10, 9)), "Individual Quota Exceeded", IF($G2&gt;IF(OR($D2="BIDĀYAH", $D2="BIDAYAH"), 8, IF(OR($D2="THĀNAWIYYAH", $D2="THANAWIYYAH"), 6, 5)), "Non-Stage Quota Exceeded", IF($H2&gt;4, "Stage Quota Exceeded", IF(AND($H2=0, $G2=0), "Min 1 Required (Stage &amp; Non-Stage)", IF($H2=0, "Min 1 Required (Stage)", IF($G2=0, "Min 1 Required (Non-Stage)", "Compliant")))))))</f>
        <v>Min 1 Required (Stage &amp; Non-Stage)</v>
      </c>
      <c r="N2" s="74"/>
      <c r="O2" s="75"/>
      <c r="P2" s="75"/>
      <c r="Q2" s="75"/>
      <c r="R2" s="75"/>
      <c r="S2" s="75"/>
      <c r="T2" s="75"/>
      <c r="U2" s="75"/>
      <c r="V2" s="75"/>
      <c r="W2" s="75"/>
      <c r="X2" s="75"/>
      <c r="AC2" s="79" t="str">
        <f t="shared" ref="AC2:AC294" si="3">TEXTJOIN(", ", TRUE, $N2:$AB2)</f>
        <v/>
      </c>
    </row>
    <row r="3">
      <c r="A3" s="74">
        <v>68.0</v>
      </c>
      <c r="B3" s="74" t="s">
        <v>317</v>
      </c>
      <c r="C3" s="74">
        <v>10.0</v>
      </c>
      <c r="D3" s="74" t="s">
        <v>8</v>
      </c>
      <c r="E3" s="74" t="s">
        <v>331</v>
      </c>
      <c r="F3" s="74" t="s">
        <v>622</v>
      </c>
      <c r="G3" s="75">
        <f>SUMPRODUCT(COUNTIFS(PROGRAM_DIRECTORY!$A$2:$A$334, $N3:$AB3, PROGRAM_DIRECTORY!$D$2:$D$334, "Non-Stage", PROGRAM_DIRECTORY!$E$2:$E$334, "Individual"))</f>
        <v>0</v>
      </c>
      <c r="H3" s="75">
        <f>SUMPRODUCT(COUNTIFS(PROGRAM_DIRECTORY!$A$2:$A$334, $N3:$AB3, PROGRAM_DIRECTORY!$D$2:$D$334, "Stage", PROGRAM_DIRECTORY!$E$2:$E$334, "Individual"))</f>
        <v>0</v>
      </c>
      <c r="I3" s="75">
        <f>SUMPRODUCT(COUNTIFS(PROGRAM_DIRECTORY!$A$2:$A$334, $N3:$AB3, PROGRAM_DIRECTORY!$D$2:$D$334, "Sports"))</f>
        <v>0</v>
      </c>
      <c r="J3" s="75">
        <f>SUMPRODUCT(COUNTIFS(PROGRAM_DIRECTORY!$A$2:$A$334, $N3:$AB3, PROGRAM_DIRECTORY!$E$2:$E$334, "Individual"))</f>
        <v>0</v>
      </c>
      <c r="K3" s="75">
        <f>SUMPRODUCT(COUNTIFS(PROGRAM_DIRECTORY!$A$2:$A$334, $N3:$AB3, PROGRAM_DIRECTORY!$E$2:$E$334, "Group"))</f>
        <v>0</v>
      </c>
      <c r="L3" s="75">
        <f t="shared" si="1"/>
        <v>0</v>
      </c>
      <c r="M3" s="75" t="str">
        <f t="shared" si="2"/>
        <v>Min 1 Required (Stage &amp; Non-Stage)</v>
      </c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AC3" s="79" t="str">
        <f t="shared" si="3"/>
        <v/>
      </c>
    </row>
    <row r="4">
      <c r="A4" s="74">
        <v>357.0</v>
      </c>
      <c r="B4" s="74" t="s">
        <v>374</v>
      </c>
      <c r="C4" s="74">
        <v>10.0</v>
      </c>
      <c r="D4" s="74" t="s">
        <v>8</v>
      </c>
      <c r="E4" s="74" t="s">
        <v>380</v>
      </c>
      <c r="F4" s="74" t="s">
        <v>622</v>
      </c>
      <c r="G4" s="75">
        <f>SUMPRODUCT(COUNTIFS(PROGRAM_DIRECTORY!$A$2:$A$334, $N4:$AB4, PROGRAM_DIRECTORY!$D$2:$D$334, "Non-Stage", PROGRAM_DIRECTORY!$E$2:$E$334, "Individual"))</f>
        <v>0</v>
      </c>
      <c r="H4" s="75">
        <f>SUMPRODUCT(COUNTIFS(PROGRAM_DIRECTORY!$A$2:$A$334, $N4:$AB4, PROGRAM_DIRECTORY!$D$2:$D$334, "Stage", PROGRAM_DIRECTORY!$E$2:$E$334, "Individual"))</f>
        <v>0</v>
      </c>
      <c r="I4" s="75">
        <f>SUMPRODUCT(COUNTIFS(PROGRAM_DIRECTORY!$A$2:$A$334, $N4:$AB4, PROGRAM_DIRECTORY!$D$2:$D$334, "Sports"))</f>
        <v>0</v>
      </c>
      <c r="J4" s="75">
        <f>SUMPRODUCT(COUNTIFS(PROGRAM_DIRECTORY!$A$2:$A$334, $N4:$AB4, PROGRAM_DIRECTORY!$E$2:$E$334, "Individual"))</f>
        <v>0</v>
      </c>
      <c r="K4" s="75">
        <f>SUMPRODUCT(COUNTIFS(PROGRAM_DIRECTORY!$A$2:$A$334, $N4:$AB4, PROGRAM_DIRECTORY!$E$2:$E$334, "Group"))</f>
        <v>0</v>
      </c>
      <c r="L4" s="75">
        <f t="shared" si="1"/>
        <v>0</v>
      </c>
      <c r="M4" s="75" t="str">
        <f t="shared" si="2"/>
        <v>Min 1 Required (Stage &amp; Non-Stage)</v>
      </c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AC4" s="79" t="str">
        <f t="shared" si="3"/>
        <v/>
      </c>
    </row>
    <row r="5">
      <c r="A5" s="74">
        <v>71.0</v>
      </c>
      <c r="B5" s="74" t="s">
        <v>417</v>
      </c>
      <c r="C5" s="74">
        <v>10.0</v>
      </c>
      <c r="D5" s="74" t="s">
        <v>8</v>
      </c>
      <c r="E5" s="74" t="s">
        <v>331</v>
      </c>
      <c r="F5" s="74" t="s">
        <v>622</v>
      </c>
      <c r="G5" s="75">
        <f>SUMPRODUCT(COUNTIFS(PROGRAM_DIRECTORY!$A$2:$A$334, $N5:$AB5, PROGRAM_DIRECTORY!$D$2:$D$334, "Non-Stage", PROGRAM_DIRECTORY!$E$2:$E$334, "Individual"))</f>
        <v>0</v>
      </c>
      <c r="H5" s="75">
        <f>SUMPRODUCT(COUNTIFS(PROGRAM_DIRECTORY!$A$2:$A$334, $N5:$AB5, PROGRAM_DIRECTORY!$D$2:$D$334, "Stage", PROGRAM_DIRECTORY!$E$2:$E$334, "Individual"))</f>
        <v>0</v>
      </c>
      <c r="I5" s="75">
        <f>SUMPRODUCT(COUNTIFS(PROGRAM_DIRECTORY!$A$2:$A$334, $N5:$AB5, PROGRAM_DIRECTORY!$D$2:$D$334, "Sports"))</f>
        <v>0</v>
      </c>
      <c r="J5" s="75">
        <f>SUMPRODUCT(COUNTIFS(PROGRAM_DIRECTORY!$A$2:$A$334, $N5:$AB5, PROGRAM_DIRECTORY!$E$2:$E$334, "Individual"))</f>
        <v>0</v>
      </c>
      <c r="K5" s="75">
        <f>SUMPRODUCT(COUNTIFS(PROGRAM_DIRECTORY!$A$2:$A$334, $N5:$AB5, PROGRAM_DIRECTORY!$E$2:$E$334, "Group"))</f>
        <v>0</v>
      </c>
      <c r="L5" s="75">
        <f t="shared" si="1"/>
        <v>0</v>
      </c>
      <c r="M5" s="75" t="str">
        <f t="shared" si="2"/>
        <v>Min 1 Required (Stage &amp; Non-Stage)</v>
      </c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AC5" s="79" t="str">
        <f t="shared" si="3"/>
        <v/>
      </c>
    </row>
    <row r="6">
      <c r="A6" s="74">
        <v>393.0</v>
      </c>
      <c r="B6" s="74" t="s">
        <v>446</v>
      </c>
      <c r="C6" s="74">
        <v>10.0</v>
      </c>
      <c r="D6" s="74" t="s">
        <v>8</v>
      </c>
      <c r="E6" s="74" t="s">
        <v>450</v>
      </c>
      <c r="F6" s="74" t="s">
        <v>622</v>
      </c>
      <c r="G6" s="75">
        <f>SUMPRODUCT(COUNTIFS(PROGRAM_DIRECTORY!$A$2:$A$334, $N6:$AB6, PROGRAM_DIRECTORY!$D$2:$D$334, "Non-Stage", PROGRAM_DIRECTORY!$E$2:$E$334, "Individual"))</f>
        <v>0</v>
      </c>
      <c r="H6" s="75">
        <f>SUMPRODUCT(COUNTIFS(PROGRAM_DIRECTORY!$A$2:$A$334, $N6:$AB6, PROGRAM_DIRECTORY!$D$2:$D$334, "Stage", PROGRAM_DIRECTORY!$E$2:$E$334, "Individual"))</f>
        <v>0</v>
      </c>
      <c r="I6" s="75">
        <f>SUMPRODUCT(COUNTIFS(PROGRAM_DIRECTORY!$A$2:$A$334, $N6:$AB6, PROGRAM_DIRECTORY!$D$2:$D$334, "Sports"))</f>
        <v>0</v>
      </c>
      <c r="J6" s="75">
        <f>SUMPRODUCT(COUNTIFS(PROGRAM_DIRECTORY!$A$2:$A$334, $N6:$AB6, PROGRAM_DIRECTORY!$E$2:$E$334, "Individual"))</f>
        <v>0</v>
      </c>
      <c r="K6" s="75">
        <f>SUMPRODUCT(COUNTIFS(PROGRAM_DIRECTORY!$A$2:$A$334, $N6:$AB6, PROGRAM_DIRECTORY!$E$2:$E$334, "Group"))</f>
        <v>0</v>
      </c>
      <c r="L6" s="75">
        <f t="shared" si="1"/>
        <v>0</v>
      </c>
      <c r="M6" s="75" t="str">
        <f t="shared" si="2"/>
        <v>Min 1 Required (Stage &amp; Non-Stage)</v>
      </c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AC6" s="79" t="str">
        <f t="shared" si="3"/>
        <v/>
      </c>
    </row>
    <row r="7">
      <c r="A7" s="74">
        <v>78.0</v>
      </c>
      <c r="B7" s="74" t="s">
        <v>467</v>
      </c>
      <c r="C7" s="74">
        <v>10.0</v>
      </c>
      <c r="D7" s="74" t="s">
        <v>8</v>
      </c>
      <c r="E7" s="74" t="s">
        <v>380</v>
      </c>
      <c r="F7" s="74" t="s">
        <v>622</v>
      </c>
      <c r="G7" s="75">
        <f>SUMPRODUCT(COUNTIFS(PROGRAM_DIRECTORY!$A$2:$A$334, $N7:$AB7, PROGRAM_DIRECTORY!$D$2:$D$334, "Non-Stage", PROGRAM_DIRECTORY!$E$2:$E$334, "Individual"))</f>
        <v>0</v>
      </c>
      <c r="H7" s="75">
        <f>SUMPRODUCT(COUNTIFS(PROGRAM_DIRECTORY!$A$2:$A$334, $N7:$AB7, PROGRAM_DIRECTORY!$D$2:$D$334, "Stage", PROGRAM_DIRECTORY!$E$2:$E$334, "Individual"))</f>
        <v>0</v>
      </c>
      <c r="I7" s="75">
        <f>SUMPRODUCT(COUNTIFS(PROGRAM_DIRECTORY!$A$2:$A$334, $N7:$AB7, PROGRAM_DIRECTORY!$D$2:$D$334, "Sports"))</f>
        <v>0</v>
      </c>
      <c r="J7" s="75">
        <f>SUMPRODUCT(COUNTIFS(PROGRAM_DIRECTORY!$A$2:$A$334, $N7:$AB7, PROGRAM_DIRECTORY!$E$2:$E$334, "Individual"))</f>
        <v>0</v>
      </c>
      <c r="K7" s="75">
        <f>SUMPRODUCT(COUNTIFS(PROGRAM_DIRECTORY!$A$2:$A$334, $N7:$AB7, PROGRAM_DIRECTORY!$E$2:$E$334, "Group"))</f>
        <v>0</v>
      </c>
      <c r="L7" s="75">
        <f t="shared" si="1"/>
        <v>0</v>
      </c>
      <c r="M7" s="75" t="str">
        <f t="shared" si="2"/>
        <v>Min 1 Required (Stage &amp; Non-Stage)</v>
      </c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AC7" s="79" t="str">
        <f t="shared" si="3"/>
        <v/>
      </c>
    </row>
    <row r="8">
      <c r="A8" s="74">
        <v>356.0</v>
      </c>
      <c r="B8" s="74" t="s">
        <v>479</v>
      </c>
      <c r="C8" s="74">
        <v>10.0</v>
      </c>
      <c r="D8" s="74" t="s">
        <v>8</v>
      </c>
      <c r="E8" s="74" t="s">
        <v>195</v>
      </c>
      <c r="F8" s="74" t="s">
        <v>622</v>
      </c>
      <c r="G8" s="75">
        <f>SUMPRODUCT(COUNTIFS(PROGRAM_DIRECTORY!$A$2:$A$334, $N8:$AB8, PROGRAM_DIRECTORY!$D$2:$D$334, "Non-Stage", PROGRAM_DIRECTORY!$E$2:$E$334, "Individual"))</f>
        <v>0</v>
      </c>
      <c r="H8" s="75">
        <f>SUMPRODUCT(COUNTIFS(PROGRAM_DIRECTORY!$A$2:$A$334, $N8:$AB8, PROGRAM_DIRECTORY!$D$2:$D$334, "Stage", PROGRAM_DIRECTORY!$E$2:$E$334, "Individual"))</f>
        <v>0</v>
      </c>
      <c r="I8" s="75">
        <f>SUMPRODUCT(COUNTIFS(PROGRAM_DIRECTORY!$A$2:$A$334, $N8:$AB8, PROGRAM_DIRECTORY!$D$2:$D$334, "Sports"))</f>
        <v>0</v>
      </c>
      <c r="J8" s="75">
        <f>SUMPRODUCT(COUNTIFS(PROGRAM_DIRECTORY!$A$2:$A$334, $N8:$AB8, PROGRAM_DIRECTORY!$E$2:$E$334, "Individual"))</f>
        <v>0</v>
      </c>
      <c r="K8" s="75">
        <f>SUMPRODUCT(COUNTIFS(PROGRAM_DIRECTORY!$A$2:$A$334, $N8:$AB8, PROGRAM_DIRECTORY!$E$2:$E$334, "Group"))</f>
        <v>0</v>
      </c>
      <c r="L8" s="75">
        <f t="shared" si="1"/>
        <v>0</v>
      </c>
      <c r="M8" s="75" t="str">
        <f t="shared" si="2"/>
        <v>Min 1 Required (Stage &amp; Non-Stage)</v>
      </c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AC8" s="79" t="str">
        <f t="shared" si="3"/>
        <v/>
      </c>
    </row>
    <row r="9">
      <c r="A9" s="74">
        <v>354.0</v>
      </c>
      <c r="B9" s="74" t="s">
        <v>494</v>
      </c>
      <c r="C9" s="74">
        <v>10.0</v>
      </c>
      <c r="D9" s="74" t="s">
        <v>8</v>
      </c>
      <c r="E9" s="74" t="s">
        <v>450</v>
      </c>
      <c r="F9" s="74" t="s">
        <v>622</v>
      </c>
      <c r="G9" s="75">
        <f>SUMPRODUCT(COUNTIFS(PROGRAM_DIRECTORY!$A$2:$A$334, $N9:$AB9, PROGRAM_DIRECTORY!$D$2:$D$334, "Non-Stage", PROGRAM_DIRECTORY!$E$2:$E$334, "Individual"))</f>
        <v>0</v>
      </c>
      <c r="H9" s="75">
        <f>SUMPRODUCT(COUNTIFS(PROGRAM_DIRECTORY!$A$2:$A$334, $N9:$AB9, PROGRAM_DIRECTORY!$D$2:$D$334, "Stage", PROGRAM_DIRECTORY!$E$2:$E$334, "Individual"))</f>
        <v>0</v>
      </c>
      <c r="I9" s="75">
        <f>SUMPRODUCT(COUNTIFS(PROGRAM_DIRECTORY!$A$2:$A$334, $N9:$AB9, PROGRAM_DIRECTORY!$D$2:$D$334, "Sports"))</f>
        <v>0</v>
      </c>
      <c r="J9" s="75">
        <f>SUMPRODUCT(COUNTIFS(PROGRAM_DIRECTORY!$A$2:$A$334, $N9:$AB9, PROGRAM_DIRECTORY!$E$2:$E$334, "Individual"))</f>
        <v>0</v>
      </c>
      <c r="K9" s="75">
        <f>SUMPRODUCT(COUNTIFS(PROGRAM_DIRECTORY!$A$2:$A$334, $N9:$AB9, PROGRAM_DIRECTORY!$E$2:$E$334, "Group"))</f>
        <v>0</v>
      </c>
      <c r="L9" s="75">
        <f t="shared" si="1"/>
        <v>0</v>
      </c>
      <c r="M9" s="75" t="str">
        <f t="shared" si="2"/>
        <v>Min 1 Required (Stage &amp; Non-Stage)</v>
      </c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AC9" s="79" t="str">
        <f t="shared" si="3"/>
        <v/>
      </c>
    </row>
    <row r="10">
      <c r="A10" s="74">
        <v>56.0</v>
      </c>
      <c r="B10" s="74" t="s">
        <v>507</v>
      </c>
      <c r="C10" s="74">
        <v>10.0</v>
      </c>
      <c r="D10" s="74" t="s">
        <v>8</v>
      </c>
      <c r="E10" s="74" t="s">
        <v>450</v>
      </c>
      <c r="F10" s="74" t="s">
        <v>622</v>
      </c>
      <c r="G10" s="75">
        <f>SUMPRODUCT(COUNTIFS(PROGRAM_DIRECTORY!$A$2:$A$334, $N10:$AB10, PROGRAM_DIRECTORY!$D$2:$D$334, "Non-Stage", PROGRAM_DIRECTORY!$E$2:$E$334, "Individual"))</f>
        <v>0</v>
      </c>
      <c r="H10" s="75">
        <f>SUMPRODUCT(COUNTIFS(PROGRAM_DIRECTORY!$A$2:$A$334, $N10:$AB10, PROGRAM_DIRECTORY!$D$2:$D$334, "Stage", PROGRAM_DIRECTORY!$E$2:$E$334, "Individual"))</f>
        <v>0</v>
      </c>
      <c r="I10" s="75">
        <f>SUMPRODUCT(COUNTIFS(PROGRAM_DIRECTORY!$A$2:$A$334, $N10:$AB10, PROGRAM_DIRECTORY!$D$2:$D$334, "Sports"))</f>
        <v>0</v>
      </c>
      <c r="J10" s="75">
        <f>SUMPRODUCT(COUNTIFS(PROGRAM_DIRECTORY!$A$2:$A$334, $N10:$AB10, PROGRAM_DIRECTORY!$E$2:$E$334, "Individual"))</f>
        <v>0</v>
      </c>
      <c r="K10" s="75">
        <f>SUMPRODUCT(COUNTIFS(PROGRAM_DIRECTORY!$A$2:$A$334, $N10:$AB10, PROGRAM_DIRECTORY!$E$2:$E$334, "Group"))</f>
        <v>0</v>
      </c>
      <c r="L10" s="75">
        <f t="shared" si="1"/>
        <v>0</v>
      </c>
      <c r="M10" s="75" t="str">
        <f t="shared" si="2"/>
        <v>Min 1 Required (Stage &amp; Non-Stage)</v>
      </c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AC10" s="79" t="str">
        <f t="shared" si="3"/>
        <v/>
      </c>
    </row>
    <row r="11">
      <c r="A11" s="74">
        <v>64.0</v>
      </c>
      <c r="B11" s="74" t="s">
        <v>521</v>
      </c>
      <c r="C11" s="74">
        <v>10.0</v>
      </c>
      <c r="D11" s="74" t="s">
        <v>8</v>
      </c>
      <c r="E11" s="74" t="s">
        <v>331</v>
      </c>
      <c r="F11" s="74" t="s">
        <v>622</v>
      </c>
      <c r="G11" s="75">
        <f>SUMPRODUCT(COUNTIFS(PROGRAM_DIRECTORY!$A$2:$A$334, $N11:$AB11, PROGRAM_DIRECTORY!$D$2:$D$334, "Non-Stage", PROGRAM_DIRECTORY!$E$2:$E$334, "Individual"))</f>
        <v>0</v>
      </c>
      <c r="H11" s="75">
        <f>SUMPRODUCT(COUNTIFS(PROGRAM_DIRECTORY!$A$2:$A$334, $N11:$AB11, PROGRAM_DIRECTORY!$D$2:$D$334, "Stage", PROGRAM_DIRECTORY!$E$2:$E$334, "Individual"))</f>
        <v>0</v>
      </c>
      <c r="I11" s="75">
        <f>SUMPRODUCT(COUNTIFS(PROGRAM_DIRECTORY!$A$2:$A$334, $N11:$AB11, PROGRAM_DIRECTORY!$D$2:$D$334, "Sports"))</f>
        <v>0</v>
      </c>
      <c r="J11" s="75">
        <f>SUMPRODUCT(COUNTIFS(PROGRAM_DIRECTORY!$A$2:$A$334, $N11:$AB11, PROGRAM_DIRECTORY!$E$2:$E$334, "Individual"))</f>
        <v>0</v>
      </c>
      <c r="K11" s="75">
        <f>SUMPRODUCT(COUNTIFS(PROGRAM_DIRECTORY!$A$2:$A$334, $N11:$AB11, PROGRAM_DIRECTORY!$E$2:$E$334, "Group"))</f>
        <v>0</v>
      </c>
      <c r="L11" s="75">
        <f t="shared" si="1"/>
        <v>0</v>
      </c>
      <c r="M11" s="75" t="str">
        <f t="shared" si="2"/>
        <v>Min 1 Required (Stage &amp; Non-Stage)</v>
      </c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AC11" s="79" t="str">
        <f t="shared" si="3"/>
        <v/>
      </c>
    </row>
    <row r="12">
      <c r="A12" s="74">
        <v>45.0</v>
      </c>
      <c r="B12" s="74" t="s">
        <v>533</v>
      </c>
      <c r="C12" s="74">
        <v>10.0</v>
      </c>
      <c r="D12" s="74" t="s">
        <v>8</v>
      </c>
      <c r="E12" s="74" t="s">
        <v>450</v>
      </c>
      <c r="F12" s="74" t="s">
        <v>622</v>
      </c>
      <c r="G12" s="75">
        <f>SUMPRODUCT(COUNTIFS(PROGRAM_DIRECTORY!$A$2:$A$334, $N12:$AB12, PROGRAM_DIRECTORY!$D$2:$D$334, "Non-Stage", PROGRAM_DIRECTORY!$E$2:$E$334, "Individual"))</f>
        <v>0</v>
      </c>
      <c r="H12" s="75">
        <f>SUMPRODUCT(COUNTIFS(PROGRAM_DIRECTORY!$A$2:$A$334, $N12:$AB12, PROGRAM_DIRECTORY!$D$2:$D$334, "Stage", PROGRAM_DIRECTORY!$E$2:$E$334, "Individual"))</f>
        <v>0</v>
      </c>
      <c r="I12" s="75">
        <f>SUMPRODUCT(COUNTIFS(PROGRAM_DIRECTORY!$A$2:$A$334, $N12:$AB12, PROGRAM_DIRECTORY!$D$2:$D$334, "Sports"))</f>
        <v>0</v>
      </c>
      <c r="J12" s="75">
        <f>SUMPRODUCT(COUNTIFS(PROGRAM_DIRECTORY!$A$2:$A$334, $N12:$AB12, PROGRAM_DIRECTORY!$E$2:$E$334, "Individual"))</f>
        <v>0</v>
      </c>
      <c r="K12" s="75">
        <f>SUMPRODUCT(COUNTIFS(PROGRAM_DIRECTORY!$A$2:$A$334, $N12:$AB12, PROGRAM_DIRECTORY!$E$2:$E$334, "Group"))</f>
        <v>0</v>
      </c>
      <c r="L12" s="75">
        <f t="shared" si="1"/>
        <v>0</v>
      </c>
      <c r="M12" s="75" t="str">
        <f t="shared" si="2"/>
        <v>Min 1 Required (Stage &amp; Non-Stage)</v>
      </c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AC12" s="79" t="str">
        <f t="shared" si="3"/>
        <v/>
      </c>
    </row>
    <row r="13">
      <c r="A13" s="74">
        <v>66.0</v>
      </c>
      <c r="B13" s="74" t="s">
        <v>540</v>
      </c>
      <c r="C13" s="74">
        <v>10.0</v>
      </c>
      <c r="D13" s="74" t="s">
        <v>8</v>
      </c>
      <c r="E13" s="74" t="s">
        <v>195</v>
      </c>
      <c r="F13" s="74" t="s">
        <v>622</v>
      </c>
      <c r="G13" s="75">
        <f>SUMPRODUCT(COUNTIFS(PROGRAM_DIRECTORY!$A$2:$A$334, $N13:$AB13, PROGRAM_DIRECTORY!$D$2:$D$334, "Non-Stage", PROGRAM_DIRECTORY!$E$2:$E$334, "Individual"))</f>
        <v>0</v>
      </c>
      <c r="H13" s="75">
        <f>SUMPRODUCT(COUNTIFS(PROGRAM_DIRECTORY!$A$2:$A$334, $N13:$AB13, PROGRAM_DIRECTORY!$D$2:$D$334, "Stage", PROGRAM_DIRECTORY!$E$2:$E$334, "Individual"))</f>
        <v>0</v>
      </c>
      <c r="I13" s="75">
        <f>SUMPRODUCT(COUNTIFS(PROGRAM_DIRECTORY!$A$2:$A$334, $N13:$AB13, PROGRAM_DIRECTORY!$D$2:$D$334, "Sports"))</f>
        <v>0</v>
      </c>
      <c r="J13" s="75">
        <f>SUMPRODUCT(COUNTIFS(PROGRAM_DIRECTORY!$A$2:$A$334, $N13:$AB13, PROGRAM_DIRECTORY!$E$2:$E$334, "Individual"))</f>
        <v>0</v>
      </c>
      <c r="K13" s="75">
        <f>SUMPRODUCT(COUNTIFS(PROGRAM_DIRECTORY!$A$2:$A$334, $N13:$AB13, PROGRAM_DIRECTORY!$E$2:$E$334, "Group"))</f>
        <v>0</v>
      </c>
      <c r="L13" s="75">
        <f t="shared" si="1"/>
        <v>0</v>
      </c>
      <c r="M13" s="75" t="str">
        <f t="shared" si="2"/>
        <v>Min 1 Required (Stage &amp; Non-Stage)</v>
      </c>
      <c r="N13" s="74"/>
      <c r="O13" s="75"/>
      <c r="P13" s="75"/>
      <c r="Q13" s="75"/>
      <c r="R13" s="75"/>
      <c r="S13" s="75"/>
      <c r="T13" s="75"/>
      <c r="U13" s="75"/>
      <c r="V13" s="75"/>
      <c r="W13" s="75"/>
      <c r="X13" s="75"/>
      <c r="AC13" s="79" t="str">
        <f t="shared" si="3"/>
        <v/>
      </c>
    </row>
    <row r="14">
      <c r="A14" s="74">
        <v>49.0</v>
      </c>
      <c r="B14" s="74" t="s">
        <v>554</v>
      </c>
      <c r="C14" s="74">
        <v>10.0</v>
      </c>
      <c r="D14" s="74" t="s">
        <v>8</v>
      </c>
      <c r="E14" s="74" t="s">
        <v>380</v>
      </c>
      <c r="F14" s="74" t="s">
        <v>622</v>
      </c>
      <c r="G14" s="75">
        <f>SUMPRODUCT(COUNTIFS(PROGRAM_DIRECTORY!$A$2:$A$334, $N14:$AB14, PROGRAM_DIRECTORY!$D$2:$D$334, "Non-Stage", PROGRAM_DIRECTORY!$E$2:$E$334, "Individual"))</f>
        <v>0</v>
      </c>
      <c r="H14" s="75">
        <f>SUMPRODUCT(COUNTIFS(PROGRAM_DIRECTORY!$A$2:$A$334, $N14:$AB14, PROGRAM_DIRECTORY!$D$2:$D$334, "Stage", PROGRAM_DIRECTORY!$E$2:$E$334, "Individual"))</f>
        <v>0</v>
      </c>
      <c r="I14" s="75">
        <f>SUMPRODUCT(COUNTIFS(PROGRAM_DIRECTORY!$A$2:$A$334, $N14:$AB14, PROGRAM_DIRECTORY!$D$2:$D$334, "Sports"))</f>
        <v>0</v>
      </c>
      <c r="J14" s="75">
        <f>SUMPRODUCT(COUNTIFS(PROGRAM_DIRECTORY!$A$2:$A$334, $N14:$AB14, PROGRAM_DIRECTORY!$E$2:$E$334, "Individual"))</f>
        <v>0</v>
      </c>
      <c r="K14" s="75">
        <f>SUMPRODUCT(COUNTIFS(PROGRAM_DIRECTORY!$A$2:$A$334, $N14:$AB14, PROGRAM_DIRECTORY!$E$2:$E$334, "Group"))</f>
        <v>0</v>
      </c>
      <c r="L14" s="75">
        <f t="shared" si="1"/>
        <v>0</v>
      </c>
      <c r="M14" s="75" t="str">
        <f t="shared" si="2"/>
        <v>Min 1 Required (Stage &amp; Non-Stage)</v>
      </c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AC14" s="79" t="str">
        <f t="shared" si="3"/>
        <v/>
      </c>
    </row>
    <row r="15">
      <c r="A15" s="74">
        <v>48.0</v>
      </c>
      <c r="B15" s="74" t="s">
        <v>567</v>
      </c>
      <c r="C15" s="74">
        <v>10.0</v>
      </c>
      <c r="D15" s="74" t="s">
        <v>8</v>
      </c>
      <c r="E15" s="74" t="s">
        <v>331</v>
      </c>
      <c r="F15" s="74" t="s">
        <v>622</v>
      </c>
      <c r="G15" s="75">
        <f>SUMPRODUCT(COUNTIFS(PROGRAM_DIRECTORY!$A$2:$A$334, $N15:$AB15, PROGRAM_DIRECTORY!$D$2:$D$334, "Non-Stage", PROGRAM_DIRECTORY!$E$2:$E$334, "Individual"))</f>
        <v>0</v>
      </c>
      <c r="H15" s="75">
        <f>SUMPRODUCT(COUNTIFS(PROGRAM_DIRECTORY!$A$2:$A$334, $N15:$AB15, PROGRAM_DIRECTORY!$D$2:$D$334, "Stage", PROGRAM_DIRECTORY!$E$2:$E$334, "Individual"))</f>
        <v>0</v>
      </c>
      <c r="I15" s="75">
        <f>SUMPRODUCT(COUNTIFS(PROGRAM_DIRECTORY!$A$2:$A$334, $N15:$AB15, PROGRAM_DIRECTORY!$D$2:$D$334, "Sports"))</f>
        <v>0</v>
      </c>
      <c r="J15" s="75">
        <f>SUMPRODUCT(COUNTIFS(PROGRAM_DIRECTORY!$A$2:$A$334, $N15:$AB15, PROGRAM_DIRECTORY!$E$2:$E$334, "Individual"))</f>
        <v>0</v>
      </c>
      <c r="K15" s="75">
        <f>SUMPRODUCT(COUNTIFS(PROGRAM_DIRECTORY!$A$2:$A$334, $N15:$AB15, PROGRAM_DIRECTORY!$E$2:$E$334, "Group"))</f>
        <v>0</v>
      </c>
      <c r="L15" s="75">
        <f t="shared" si="1"/>
        <v>0</v>
      </c>
      <c r="M15" s="75" t="str">
        <f t="shared" si="2"/>
        <v>Min 1 Required (Stage &amp; Non-Stage)</v>
      </c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AC15" s="79" t="str">
        <f t="shared" si="3"/>
        <v/>
      </c>
    </row>
    <row r="16">
      <c r="A16" s="74">
        <v>9.0</v>
      </c>
      <c r="B16" s="74" t="s">
        <v>579</v>
      </c>
      <c r="C16" s="74">
        <v>10.0</v>
      </c>
      <c r="D16" s="74" t="s">
        <v>8</v>
      </c>
      <c r="E16" s="74" t="s">
        <v>331</v>
      </c>
      <c r="F16" s="74" t="s">
        <v>622</v>
      </c>
      <c r="G16" s="75">
        <f>SUMPRODUCT(COUNTIFS(PROGRAM_DIRECTORY!$A$2:$A$334, $N16:$AB16, PROGRAM_DIRECTORY!$D$2:$D$334, "Non-Stage", PROGRAM_DIRECTORY!$E$2:$E$334, "Individual"))</f>
        <v>0</v>
      </c>
      <c r="H16" s="75">
        <f>SUMPRODUCT(COUNTIFS(PROGRAM_DIRECTORY!$A$2:$A$334, $N16:$AB16, PROGRAM_DIRECTORY!$D$2:$D$334, "Stage", PROGRAM_DIRECTORY!$E$2:$E$334, "Individual"))</f>
        <v>0</v>
      </c>
      <c r="I16" s="75">
        <f>SUMPRODUCT(COUNTIFS(PROGRAM_DIRECTORY!$A$2:$A$334, $N16:$AB16, PROGRAM_DIRECTORY!$D$2:$D$334, "Sports"))</f>
        <v>0</v>
      </c>
      <c r="J16" s="75">
        <f>SUMPRODUCT(COUNTIFS(PROGRAM_DIRECTORY!$A$2:$A$334, $N16:$AB16, PROGRAM_DIRECTORY!$E$2:$E$334, "Individual"))</f>
        <v>0</v>
      </c>
      <c r="K16" s="75">
        <f>SUMPRODUCT(COUNTIFS(PROGRAM_DIRECTORY!$A$2:$A$334, $N16:$AB16, PROGRAM_DIRECTORY!$E$2:$E$334, "Group"))</f>
        <v>0</v>
      </c>
      <c r="L16" s="75">
        <f t="shared" si="1"/>
        <v>0</v>
      </c>
      <c r="M16" s="75" t="str">
        <f t="shared" si="2"/>
        <v>Min 1 Required (Stage &amp; Non-Stage)</v>
      </c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AC16" s="79" t="str">
        <f t="shared" si="3"/>
        <v/>
      </c>
    </row>
    <row r="17">
      <c r="A17" s="74">
        <v>47.0</v>
      </c>
      <c r="B17" s="74" t="s">
        <v>590</v>
      </c>
      <c r="C17" s="74">
        <v>10.0</v>
      </c>
      <c r="D17" s="74" t="s">
        <v>8</v>
      </c>
      <c r="E17" s="74" t="s">
        <v>380</v>
      </c>
      <c r="F17" s="74" t="s">
        <v>622</v>
      </c>
      <c r="G17" s="75">
        <f>SUMPRODUCT(COUNTIFS(PROGRAM_DIRECTORY!$A$2:$A$334, $N17:$AB17, PROGRAM_DIRECTORY!$D$2:$D$334, "Non-Stage", PROGRAM_DIRECTORY!$E$2:$E$334, "Individual"))</f>
        <v>0</v>
      </c>
      <c r="H17" s="75">
        <f>SUMPRODUCT(COUNTIFS(PROGRAM_DIRECTORY!$A$2:$A$334, $N17:$AB17, PROGRAM_DIRECTORY!$D$2:$D$334, "Stage", PROGRAM_DIRECTORY!$E$2:$E$334, "Individual"))</f>
        <v>0</v>
      </c>
      <c r="I17" s="75">
        <f>SUMPRODUCT(COUNTIFS(PROGRAM_DIRECTORY!$A$2:$A$334, $N17:$AB17, PROGRAM_DIRECTORY!$D$2:$D$334, "Sports"))</f>
        <v>0</v>
      </c>
      <c r="J17" s="75">
        <f>SUMPRODUCT(COUNTIFS(PROGRAM_DIRECTORY!$A$2:$A$334, $N17:$AB17, PROGRAM_DIRECTORY!$E$2:$E$334, "Individual"))</f>
        <v>0</v>
      </c>
      <c r="K17" s="75">
        <f>SUMPRODUCT(COUNTIFS(PROGRAM_DIRECTORY!$A$2:$A$334, $N17:$AB17, PROGRAM_DIRECTORY!$E$2:$E$334, "Group"))</f>
        <v>0</v>
      </c>
      <c r="L17" s="75">
        <f t="shared" si="1"/>
        <v>0</v>
      </c>
      <c r="M17" s="75" t="str">
        <f t="shared" si="2"/>
        <v>Min 1 Required (Stage &amp; Non-Stage)</v>
      </c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AC17" s="79" t="str">
        <f t="shared" si="3"/>
        <v/>
      </c>
    </row>
    <row r="18">
      <c r="A18" s="74">
        <v>60.0</v>
      </c>
      <c r="B18" s="74" t="s">
        <v>599</v>
      </c>
      <c r="C18" s="74">
        <v>10.0</v>
      </c>
      <c r="D18" s="74" t="s">
        <v>8</v>
      </c>
      <c r="E18" s="74" t="s">
        <v>195</v>
      </c>
      <c r="F18" s="74" t="s">
        <v>622</v>
      </c>
      <c r="G18" s="75">
        <f>SUMPRODUCT(COUNTIFS(PROGRAM_DIRECTORY!$A$2:$A$334, $N18:$AB18, PROGRAM_DIRECTORY!$D$2:$D$334, "Non-Stage", PROGRAM_DIRECTORY!$E$2:$E$334, "Individual"))</f>
        <v>0</v>
      </c>
      <c r="H18" s="75">
        <f>SUMPRODUCT(COUNTIFS(PROGRAM_DIRECTORY!$A$2:$A$334, $N18:$AB18, PROGRAM_DIRECTORY!$D$2:$D$334, "Stage", PROGRAM_DIRECTORY!$E$2:$E$334, "Individual"))</f>
        <v>0</v>
      </c>
      <c r="I18" s="75">
        <f>SUMPRODUCT(COUNTIFS(PROGRAM_DIRECTORY!$A$2:$A$334, $N18:$AB18, PROGRAM_DIRECTORY!$D$2:$D$334, "Sports"))</f>
        <v>0</v>
      </c>
      <c r="J18" s="75">
        <f>SUMPRODUCT(COUNTIFS(PROGRAM_DIRECTORY!$A$2:$A$334, $N18:$AB18, PROGRAM_DIRECTORY!$E$2:$E$334, "Individual"))</f>
        <v>0</v>
      </c>
      <c r="K18" s="75">
        <f>SUMPRODUCT(COUNTIFS(PROGRAM_DIRECTORY!$A$2:$A$334, $N18:$AB18, PROGRAM_DIRECTORY!$E$2:$E$334, "Group"))</f>
        <v>0</v>
      </c>
      <c r="L18" s="75">
        <f t="shared" si="1"/>
        <v>0</v>
      </c>
      <c r="M18" s="75" t="str">
        <f t="shared" si="2"/>
        <v>Min 1 Required (Stage &amp; Non-Stage)</v>
      </c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AC18" s="79" t="str">
        <f t="shared" si="3"/>
        <v/>
      </c>
    </row>
    <row r="19">
      <c r="A19" s="74">
        <v>59.0</v>
      </c>
      <c r="B19" s="74" t="s">
        <v>608</v>
      </c>
      <c r="C19" s="74">
        <v>10.0</v>
      </c>
      <c r="D19" s="74" t="s">
        <v>8</v>
      </c>
      <c r="E19" s="74" t="s">
        <v>195</v>
      </c>
      <c r="F19" s="74" t="s">
        <v>622</v>
      </c>
      <c r="G19" s="75">
        <f>SUMPRODUCT(COUNTIFS(PROGRAM_DIRECTORY!$A$2:$A$334, $N19:$AB19, PROGRAM_DIRECTORY!$D$2:$D$334, "Non-Stage", PROGRAM_DIRECTORY!$E$2:$E$334, "Individual"))</f>
        <v>0</v>
      </c>
      <c r="H19" s="75">
        <f>SUMPRODUCT(COUNTIFS(PROGRAM_DIRECTORY!$A$2:$A$334, $N19:$AB19, PROGRAM_DIRECTORY!$D$2:$D$334, "Stage", PROGRAM_DIRECTORY!$E$2:$E$334, "Individual"))</f>
        <v>0</v>
      </c>
      <c r="I19" s="75">
        <f>SUMPRODUCT(COUNTIFS(PROGRAM_DIRECTORY!$A$2:$A$334, $N19:$AB19, PROGRAM_DIRECTORY!$D$2:$D$334, "Sports"))</f>
        <v>0</v>
      </c>
      <c r="J19" s="75">
        <f>SUMPRODUCT(COUNTIFS(PROGRAM_DIRECTORY!$A$2:$A$334, $N19:$AB19, PROGRAM_DIRECTORY!$E$2:$E$334, "Individual"))</f>
        <v>0</v>
      </c>
      <c r="K19" s="75">
        <f>SUMPRODUCT(COUNTIFS(PROGRAM_DIRECTORY!$A$2:$A$334, $N19:$AB19, PROGRAM_DIRECTORY!$E$2:$E$334, "Group"))</f>
        <v>0</v>
      </c>
      <c r="L19" s="75">
        <f t="shared" si="1"/>
        <v>0</v>
      </c>
      <c r="M19" s="75" t="str">
        <f t="shared" si="2"/>
        <v>Min 1 Required (Stage &amp; Non-Stage)</v>
      </c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AC19" s="79" t="str">
        <f t="shared" si="3"/>
        <v/>
      </c>
    </row>
    <row r="20">
      <c r="A20" s="74">
        <v>355.0</v>
      </c>
      <c r="B20" s="74" t="s">
        <v>609</v>
      </c>
      <c r="C20" s="74">
        <v>10.0</v>
      </c>
      <c r="D20" s="74" t="s">
        <v>610</v>
      </c>
      <c r="E20" s="74" t="s">
        <v>610</v>
      </c>
      <c r="F20" s="74" t="s">
        <v>716</v>
      </c>
      <c r="G20" s="75">
        <f>SUMPRODUCT(COUNTIFS(PROGRAM_DIRECTORY!$A$2:$A$334, $N20:$AB20, PROGRAM_DIRECTORY!$D$2:$D$334, "Non-Stage", PROGRAM_DIRECTORY!$E$2:$E$334, "Individual"))</f>
        <v>0</v>
      </c>
      <c r="H20" s="75">
        <f>SUMPRODUCT(COUNTIFS(PROGRAM_DIRECTORY!$A$2:$A$334, $N20:$AB20, PROGRAM_DIRECTORY!$D$2:$D$334, "Stage", PROGRAM_DIRECTORY!$E$2:$E$334, "Individual"))</f>
        <v>0</v>
      </c>
      <c r="I20" s="75">
        <f>SUMPRODUCT(COUNTIFS(PROGRAM_DIRECTORY!$A$2:$A$334, $N20:$AB20, PROGRAM_DIRECTORY!$D$2:$D$334, "Sports"))</f>
        <v>0</v>
      </c>
      <c r="J20" s="75">
        <f>SUMPRODUCT(COUNTIFS(PROGRAM_DIRECTORY!$A$2:$A$334, $N20:$AB20, PROGRAM_DIRECTORY!$E$2:$E$334, "Individual"))</f>
        <v>0</v>
      </c>
      <c r="K20" s="75">
        <f>SUMPRODUCT(COUNTIFS(PROGRAM_DIRECTORY!$A$2:$A$334, $N20:$AB20, PROGRAM_DIRECTORY!$E$2:$E$334, "Group"))</f>
        <v>0</v>
      </c>
      <c r="L20" s="75">
        <f t="shared" si="1"/>
        <v>0</v>
      </c>
      <c r="M20" s="75" t="str">
        <f t="shared" si="2"/>
        <v>Inactive Student</v>
      </c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AC20" s="79" t="str">
        <f t="shared" si="3"/>
        <v/>
      </c>
    </row>
    <row r="21">
      <c r="A21" s="74">
        <v>61.0</v>
      </c>
      <c r="B21" s="74" t="s">
        <v>623</v>
      </c>
      <c r="C21" s="74">
        <v>10.0</v>
      </c>
      <c r="D21" s="74" t="s">
        <v>8</v>
      </c>
      <c r="E21" s="74" t="s">
        <v>331</v>
      </c>
      <c r="F21" s="74" t="s">
        <v>622</v>
      </c>
      <c r="G21" s="75">
        <f>SUMPRODUCT(COUNTIFS(PROGRAM_DIRECTORY!$A$2:$A$334, $N21:$AB21, PROGRAM_DIRECTORY!$D$2:$D$334, "Non-Stage", PROGRAM_DIRECTORY!$E$2:$E$334, "Individual"))</f>
        <v>0</v>
      </c>
      <c r="H21" s="75">
        <f>SUMPRODUCT(COUNTIFS(PROGRAM_DIRECTORY!$A$2:$A$334, $N21:$AB21, PROGRAM_DIRECTORY!$D$2:$D$334, "Stage", PROGRAM_DIRECTORY!$E$2:$E$334, "Individual"))</f>
        <v>0</v>
      </c>
      <c r="I21" s="75">
        <f>SUMPRODUCT(COUNTIFS(PROGRAM_DIRECTORY!$A$2:$A$334, $N21:$AB21, PROGRAM_DIRECTORY!$D$2:$D$334, "Sports"))</f>
        <v>0</v>
      </c>
      <c r="J21" s="75">
        <f>SUMPRODUCT(COUNTIFS(PROGRAM_DIRECTORY!$A$2:$A$334, $N21:$AB21, PROGRAM_DIRECTORY!$E$2:$E$334, "Individual"))</f>
        <v>0</v>
      </c>
      <c r="K21" s="75">
        <f>SUMPRODUCT(COUNTIFS(PROGRAM_DIRECTORY!$A$2:$A$334, $N21:$AB21, PROGRAM_DIRECTORY!$E$2:$E$334, "Group"))</f>
        <v>0</v>
      </c>
      <c r="L21" s="75">
        <f t="shared" si="1"/>
        <v>0</v>
      </c>
      <c r="M21" s="75" t="str">
        <f t="shared" si="2"/>
        <v>Min 1 Required (Stage &amp; Non-Stage)</v>
      </c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AC21" s="79" t="str">
        <f t="shared" si="3"/>
        <v/>
      </c>
    </row>
    <row r="22">
      <c r="A22" s="74">
        <v>353.0</v>
      </c>
      <c r="B22" s="74" t="s">
        <v>624</v>
      </c>
      <c r="C22" s="74">
        <v>10.0</v>
      </c>
      <c r="D22" s="74" t="s">
        <v>8</v>
      </c>
      <c r="E22" s="74" t="s">
        <v>195</v>
      </c>
      <c r="F22" s="74" t="s">
        <v>622</v>
      </c>
      <c r="G22" s="75">
        <f>SUMPRODUCT(COUNTIFS(PROGRAM_DIRECTORY!$A$2:$A$334, $N22:$AB22, PROGRAM_DIRECTORY!$D$2:$D$334, "Non-Stage", PROGRAM_DIRECTORY!$E$2:$E$334, "Individual"))</f>
        <v>0</v>
      </c>
      <c r="H22" s="75">
        <f>SUMPRODUCT(COUNTIFS(PROGRAM_DIRECTORY!$A$2:$A$334, $N22:$AB22, PROGRAM_DIRECTORY!$D$2:$D$334, "Stage", PROGRAM_DIRECTORY!$E$2:$E$334, "Individual"))</f>
        <v>0</v>
      </c>
      <c r="I22" s="75">
        <f>SUMPRODUCT(COUNTIFS(PROGRAM_DIRECTORY!$A$2:$A$334, $N22:$AB22, PROGRAM_DIRECTORY!$D$2:$D$334, "Sports"))</f>
        <v>0</v>
      </c>
      <c r="J22" s="75">
        <f>SUMPRODUCT(COUNTIFS(PROGRAM_DIRECTORY!$A$2:$A$334, $N22:$AB22, PROGRAM_DIRECTORY!$E$2:$E$334, "Individual"))</f>
        <v>0</v>
      </c>
      <c r="K22" s="75">
        <f>SUMPRODUCT(COUNTIFS(PROGRAM_DIRECTORY!$A$2:$A$334, $N22:$AB22, PROGRAM_DIRECTORY!$E$2:$E$334, "Group"))</f>
        <v>0</v>
      </c>
      <c r="L22" s="75">
        <f t="shared" si="1"/>
        <v>0</v>
      </c>
      <c r="M22" s="75" t="str">
        <f t="shared" si="2"/>
        <v>Min 1 Required (Stage &amp; Non-Stage)</v>
      </c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AC22" s="79" t="str">
        <f t="shared" si="3"/>
        <v/>
      </c>
    </row>
    <row r="23">
      <c r="A23" s="74">
        <v>10.0</v>
      </c>
      <c r="B23" s="74" t="s">
        <v>652</v>
      </c>
      <c r="C23" s="74">
        <v>10.0</v>
      </c>
      <c r="D23" s="74" t="s">
        <v>8</v>
      </c>
      <c r="E23" s="74" t="s">
        <v>380</v>
      </c>
      <c r="F23" s="74" t="s">
        <v>622</v>
      </c>
      <c r="G23" s="75">
        <f>SUMPRODUCT(COUNTIFS(PROGRAM_DIRECTORY!$A$2:$A$334, $N23:$AB23, PROGRAM_DIRECTORY!$D$2:$D$334, "Non-Stage", PROGRAM_DIRECTORY!$E$2:$E$334, "Individual"))</f>
        <v>0</v>
      </c>
      <c r="H23" s="75">
        <f>SUMPRODUCT(COUNTIFS(PROGRAM_DIRECTORY!$A$2:$A$334, $N23:$AB23, PROGRAM_DIRECTORY!$D$2:$D$334, "Stage", PROGRAM_DIRECTORY!$E$2:$E$334, "Individual"))</f>
        <v>0</v>
      </c>
      <c r="I23" s="75">
        <f>SUMPRODUCT(COUNTIFS(PROGRAM_DIRECTORY!$A$2:$A$334, $N23:$AB23, PROGRAM_DIRECTORY!$D$2:$D$334, "Sports"))</f>
        <v>0</v>
      </c>
      <c r="J23" s="75">
        <f>SUMPRODUCT(COUNTIFS(PROGRAM_DIRECTORY!$A$2:$A$334, $N23:$AB23, PROGRAM_DIRECTORY!$E$2:$E$334, "Individual"))</f>
        <v>0</v>
      </c>
      <c r="K23" s="75">
        <f>SUMPRODUCT(COUNTIFS(PROGRAM_DIRECTORY!$A$2:$A$334, $N23:$AB23, PROGRAM_DIRECTORY!$E$2:$E$334, "Group"))</f>
        <v>0</v>
      </c>
      <c r="L23" s="75">
        <f t="shared" si="1"/>
        <v>0</v>
      </c>
      <c r="M23" s="75" t="str">
        <f t="shared" si="2"/>
        <v>Min 1 Required (Stage &amp; Non-Stage)</v>
      </c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AC23" s="79" t="str">
        <f t="shared" si="3"/>
        <v/>
      </c>
    </row>
    <row r="24">
      <c r="A24" s="74">
        <v>41.0</v>
      </c>
      <c r="B24" s="74" t="s">
        <v>653</v>
      </c>
      <c r="C24" s="74">
        <v>10.0</v>
      </c>
      <c r="D24" s="74" t="s">
        <v>8</v>
      </c>
      <c r="E24" s="74" t="s">
        <v>450</v>
      </c>
      <c r="F24" s="74" t="s">
        <v>622</v>
      </c>
      <c r="G24" s="75">
        <f>SUMPRODUCT(COUNTIFS(PROGRAM_DIRECTORY!$A$2:$A$334, $N24:$AB24, PROGRAM_DIRECTORY!$D$2:$D$334, "Non-Stage", PROGRAM_DIRECTORY!$E$2:$E$334, "Individual"))</f>
        <v>0</v>
      </c>
      <c r="H24" s="75">
        <f>SUMPRODUCT(COUNTIFS(PROGRAM_DIRECTORY!$A$2:$A$334, $N24:$AB24, PROGRAM_DIRECTORY!$D$2:$D$334, "Stage", PROGRAM_DIRECTORY!$E$2:$E$334, "Individual"))</f>
        <v>0</v>
      </c>
      <c r="I24" s="75">
        <f>SUMPRODUCT(COUNTIFS(PROGRAM_DIRECTORY!$A$2:$A$334, $N24:$AB24, PROGRAM_DIRECTORY!$D$2:$D$334, "Sports"))</f>
        <v>0</v>
      </c>
      <c r="J24" s="75">
        <f>SUMPRODUCT(COUNTIFS(PROGRAM_DIRECTORY!$A$2:$A$334, $N24:$AB24, PROGRAM_DIRECTORY!$E$2:$E$334, "Individual"))</f>
        <v>0</v>
      </c>
      <c r="K24" s="75">
        <f>SUMPRODUCT(COUNTIFS(PROGRAM_DIRECTORY!$A$2:$A$334, $N24:$AB24, PROGRAM_DIRECTORY!$E$2:$E$334, "Group"))</f>
        <v>0</v>
      </c>
      <c r="L24" s="75">
        <f t="shared" si="1"/>
        <v>0</v>
      </c>
      <c r="M24" s="75" t="str">
        <f t="shared" si="2"/>
        <v>Min 1 Required (Stage &amp; Non-Stage)</v>
      </c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AC24" s="79" t="str">
        <f t="shared" si="3"/>
        <v/>
      </c>
    </row>
    <row r="25">
      <c r="A25" s="74">
        <v>46.0</v>
      </c>
      <c r="B25" s="74" t="s">
        <v>654</v>
      </c>
      <c r="C25" s="74">
        <v>10.0</v>
      </c>
      <c r="D25" s="74" t="s">
        <v>8</v>
      </c>
      <c r="E25" s="74" t="s">
        <v>380</v>
      </c>
      <c r="F25" s="74" t="s">
        <v>622</v>
      </c>
      <c r="G25" s="75">
        <f>SUMPRODUCT(COUNTIFS(PROGRAM_DIRECTORY!$A$2:$A$334, $N25:$AB25, PROGRAM_DIRECTORY!$D$2:$D$334, "Non-Stage", PROGRAM_DIRECTORY!$E$2:$E$334, "Individual"))</f>
        <v>0</v>
      </c>
      <c r="H25" s="75">
        <f>SUMPRODUCT(COUNTIFS(PROGRAM_DIRECTORY!$A$2:$A$334, $N25:$AB25, PROGRAM_DIRECTORY!$D$2:$D$334, "Stage", PROGRAM_DIRECTORY!$E$2:$E$334, "Individual"))</f>
        <v>0</v>
      </c>
      <c r="I25" s="75">
        <f>SUMPRODUCT(COUNTIFS(PROGRAM_DIRECTORY!$A$2:$A$334, $N25:$AB25, PROGRAM_DIRECTORY!$D$2:$D$334, "Sports"))</f>
        <v>0</v>
      </c>
      <c r="J25" s="75">
        <f>SUMPRODUCT(COUNTIFS(PROGRAM_DIRECTORY!$A$2:$A$334, $N25:$AB25, PROGRAM_DIRECTORY!$E$2:$E$334, "Individual"))</f>
        <v>0</v>
      </c>
      <c r="K25" s="75">
        <f>SUMPRODUCT(COUNTIFS(PROGRAM_DIRECTORY!$A$2:$A$334, $N25:$AB25, PROGRAM_DIRECTORY!$E$2:$E$334, "Group"))</f>
        <v>0</v>
      </c>
      <c r="L25" s="75">
        <f t="shared" si="1"/>
        <v>0</v>
      </c>
      <c r="M25" s="75" t="str">
        <f t="shared" si="2"/>
        <v>Min 1 Required (Stage &amp; Non-Stage)</v>
      </c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AC25" s="79" t="str">
        <f t="shared" si="3"/>
        <v/>
      </c>
    </row>
    <row r="26">
      <c r="A26" s="74">
        <v>76.0</v>
      </c>
      <c r="B26" s="74" t="s">
        <v>655</v>
      </c>
      <c r="C26" s="74">
        <v>10.0</v>
      </c>
      <c r="D26" s="74" t="s">
        <v>8</v>
      </c>
      <c r="E26" s="74" t="s">
        <v>450</v>
      </c>
      <c r="F26" s="74" t="s">
        <v>622</v>
      </c>
      <c r="G26" s="75">
        <f>SUMPRODUCT(COUNTIFS(PROGRAM_DIRECTORY!$A$2:$A$334, $N26:$AB26, PROGRAM_DIRECTORY!$D$2:$D$334, "Non-Stage", PROGRAM_DIRECTORY!$E$2:$E$334, "Individual"))</f>
        <v>0</v>
      </c>
      <c r="H26" s="75">
        <f>SUMPRODUCT(COUNTIFS(PROGRAM_DIRECTORY!$A$2:$A$334, $N26:$AB26, PROGRAM_DIRECTORY!$D$2:$D$334, "Stage", PROGRAM_DIRECTORY!$E$2:$E$334, "Individual"))</f>
        <v>0</v>
      </c>
      <c r="I26" s="75">
        <f>SUMPRODUCT(COUNTIFS(PROGRAM_DIRECTORY!$A$2:$A$334, $N26:$AB26, PROGRAM_DIRECTORY!$D$2:$D$334, "Sports"))</f>
        <v>0</v>
      </c>
      <c r="J26" s="75">
        <f>SUMPRODUCT(COUNTIFS(PROGRAM_DIRECTORY!$A$2:$A$334, $N26:$AB26, PROGRAM_DIRECTORY!$E$2:$E$334, "Individual"))</f>
        <v>0</v>
      </c>
      <c r="K26" s="75">
        <f>SUMPRODUCT(COUNTIFS(PROGRAM_DIRECTORY!$A$2:$A$334, $N26:$AB26, PROGRAM_DIRECTORY!$E$2:$E$334, "Group"))</f>
        <v>0</v>
      </c>
      <c r="L26" s="75">
        <f t="shared" si="1"/>
        <v>0</v>
      </c>
      <c r="M26" s="75" t="str">
        <f t="shared" si="2"/>
        <v>Min 1 Required (Stage &amp; Non-Stage)</v>
      </c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AC26" s="79" t="str">
        <f t="shared" si="3"/>
        <v/>
      </c>
    </row>
    <row r="27">
      <c r="A27" s="74">
        <v>121.0</v>
      </c>
      <c r="B27" s="74" t="s">
        <v>656</v>
      </c>
      <c r="C27" s="74">
        <v>10.0</v>
      </c>
      <c r="D27" s="74" t="s">
        <v>8</v>
      </c>
      <c r="E27" s="74" t="s">
        <v>450</v>
      </c>
      <c r="F27" s="74" t="s">
        <v>622</v>
      </c>
      <c r="G27" s="75">
        <f>SUMPRODUCT(COUNTIFS(PROGRAM_DIRECTORY!$A$2:$A$334, $N27:$AB27, PROGRAM_DIRECTORY!$D$2:$D$334, "Non-Stage", PROGRAM_DIRECTORY!$E$2:$E$334, "Individual"))</f>
        <v>0</v>
      </c>
      <c r="H27" s="75">
        <f>SUMPRODUCT(COUNTIFS(PROGRAM_DIRECTORY!$A$2:$A$334, $N27:$AB27, PROGRAM_DIRECTORY!$D$2:$D$334, "Stage", PROGRAM_DIRECTORY!$E$2:$E$334, "Individual"))</f>
        <v>0</v>
      </c>
      <c r="I27" s="75">
        <f>SUMPRODUCT(COUNTIFS(PROGRAM_DIRECTORY!$A$2:$A$334, $N27:$AB27, PROGRAM_DIRECTORY!$D$2:$D$334, "Sports"))</f>
        <v>0</v>
      </c>
      <c r="J27" s="75">
        <f>SUMPRODUCT(COUNTIFS(PROGRAM_DIRECTORY!$A$2:$A$334, $N27:$AB27, PROGRAM_DIRECTORY!$E$2:$E$334, "Individual"))</f>
        <v>0</v>
      </c>
      <c r="K27" s="75">
        <f>SUMPRODUCT(COUNTIFS(PROGRAM_DIRECTORY!$A$2:$A$334, $N27:$AB27, PROGRAM_DIRECTORY!$E$2:$E$334, "Group"))</f>
        <v>0</v>
      </c>
      <c r="L27" s="75">
        <f t="shared" si="1"/>
        <v>0</v>
      </c>
      <c r="M27" s="75" t="str">
        <f t="shared" si="2"/>
        <v>Min 1 Required (Stage &amp; Non-Stage)</v>
      </c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AC27" s="79" t="str">
        <f t="shared" si="3"/>
        <v/>
      </c>
    </row>
    <row r="28">
      <c r="A28" s="74">
        <v>81.0</v>
      </c>
      <c r="B28" s="74" t="s">
        <v>657</v>
      </c>
      <c r="C28" s="74">
        <v>9.0</v>
      </c>
      <c r="D28" s="74" t="s">
        <v>8</v>
      </c>
      <c r="E28" s="74" t="s">
        <v>450</v>
      </c>
      <c r="F28" s="74" t="s">
        <v>622</v>
      </c>
      <c r="G28" s="75">
        <f>SUMPRODUCT(COUNTIFS(PROGRAM_DIRECTORY!$A$2:$A$334, $N28:$AB28, PROGRAM_DIRECTORY!$D$2:$D$334, "Non-Stage", PROGRAM_DIRECTORY!$E$2:$E$334, "Individual"))</f>
        <v>0</v>
      </c>
      <c r="H28" s="75">
        <f>SUMPRODUCT(COUNTIFS(PROGRAM_DIRECTORY!$A$2:$A$334, $N28:$AB28, PROGRAM_DIRECTORY!$D$2:$D$334, "Stage", PROGRAM_DIRECTORY!$E$2:$E$334, "Individual"))</f>
        <v>0</v>
      </c>
      <c r="I28" s="75">
        <f>SUMPRODUCT(COUNTIFS(PROGRAM_DIRECTORY!$A$2:$A$334, $N28:$AB28, PROGRAM_DIRECTORY!$D$2:$D$334, "Sports"))</f>
        <v>0</v>
      </c>
      <c r="J28" s="75">
        <f>SUMPRODUCT(COUNTIFS(PROGRAM_DIRECTORY!$A$2:$A$334, $N28:$AB28, PROGRAM_DIRECTORY!$E$2:$E$334, "Individual"))</f>
        <v>0</v>
      </c>
      <c r="K28" s="75">
        <f>SUMPRODUCT(COUNTIFS(PROGRAM_DIRECTORY!$A$2:$A$334, $N28:$AB28, PROGRAM_DIRECTORY!$E$2:$E$334, "Group"))</f>
        <v>0</v>
      </c>
      <c r="L28" s="75">
        <f t="shared" si="1"/>
        <v>0</v>
      </c>
      <c r="M28" s="75" t="str">
        <f t="shared" si="2"/>
        <v>Min 1 Required (Stage &amp; Non-Stage)</v>
      </c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AC28" s="79" t="str">
        <f t="shared" si="3"/>
        <v/>
      </c>
    </row>
    <row r="29">
      <c r="A29" s="74">
        <v>88.0</v>
      </c>
      <c r="B29" s="74" t="s">
        <v>658</v>
      </c>
      <c r="C29" s="74">
        <v>9.0</v>
      </c>
      <c r="D29" s="74" t="s">
        <v>8</v>
      </c>
      <c r="E29" s="74" t="s">
        <v>331</v>
      </c>
      <c r="F29" s="74" t="s">
        <v>622</v>
      </c>
      <c r="G29" s="75">
        <f>SUMPRODUCT(COUNTIFS(PROGRAM_DIRECTORY!$A$2:$A$334, $N29:$AB29, PROGRAM_DIRECTORY!$D$2:$D$334, "Non-Stage", PROGRAM_DIRECTORY!$E$2:$E$334, "Individual"))</f>
        <v>0</v>
      </c>
      <c r="H29" s="75">
        <f>SUMPRODUCT(COUNTIFS(PROGRAM_DIRECTORY!$A$2:$A$334, $N29:$AB29, PROGRAM_DIRECTORY!$D$2:$D$334, "Stage", PROGRAM_DIRECTORY!$E$2:$E$334, "Individual"))</f>
        <v>0</v>
      </c>
      <c r="I29" s="75">
        <f>SUMPRODUCT(COUNTIFS(PROGRAM_DIRECTORY!$A$2:$A$334, $N29:$AB29, PROGRAM_DIRECTORY!$D$2:$D$334, "Sports"))</f>
        <v>0</v>
      </c>
      <c r="J29" s="75">
        <f>SUMPRODUCT(COUNTIFS(PROGRAM_DIRECTORY!$A$2:$A$334, $N29:$AB29, PROGRAM_DIRECTORY!$E$2:$E$334, "Individual"))</f>
        <v>0</v>
      </c>
      <c r="K29" s="75">
        <f>SUMPRODUCT(COUNTIFS(PROGRAM_DIRECTORY!$A$2:$A$334, $N29:$AB29, PROGRAM_DIRECTORY!$E$2:$E$334, "Group"))</f>
        <v>0</v>
      </c>
      <c r="L29" s="75">
        <f t="shared" si="1"/>
        <v>0</v>
      </c>
      <c r="M29" s="75" t="str">
        <f t="shared" si="2"/>
        <v>Min 1 Required (Stage &amp; Non-Stage)</v>
      </c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AC29" s="79" t="str">
        <f t="shared" si="3"/>
        <v/>
      </c>
    </row>
    <row r="30">
      <c r="A30" s="74">
        <v>89.0</v>
      </c>
      <c r="B30" s="74" t="s">
        <v>659</v>
      </c>
      <c r="C30" s="74">
        <v>9.0</v>
      </c>
      <c r="D30" s="74" t="s">
        <v>8</v>
      </c>
      <c r="E30" s="74" t="s">
        <v>195</v>
      </c>
      <c r="F30" s="74" t="s">
        <v>622</v>
      </c>
      <c r="G30" s="75">
        <f>SUMPRODUCT(COUNTIFS(PROGRAM_DIRECTORY!$A$2:$A$334, $N30:$AB30, PROGRAM_DIRECTORY!$D$2:$D$334, "Non-Stage", PROGRAM_DIRECTORY!$E$2:$E$334, "Individual"))</f>
        <v>0</v>
      </c>
      <c r="H30" s="75">
        <f>SUMPRODUCT(COUNTIFS(PROGRAM_DIRECTORY!$A$2:$A$334, $N30:$AB30, PROGRAM_DIRECTORY!$D$2:$D$334, "Stage", PROGRAM_DIRECTORY!$E$2:$E$334, "Individual"))</f>
        <v>0</v>
      </c>
      <c r="I30" s="75">
        <f>SUMPRODUCT(COUNTIFS(PROGRAM_DIRECTORY!$A$2:$A$334, $N30:$AB30, PROGRAM_DIRECTORY!$D$2:$D$334, "Sports"))</f>
        <v>0</v>
      </c>
      <c r="J30" s="75">
        <f>SUMPRODUCT(COUNTIFS(PROGRAM_DIRECTORY!$A$2:$A$334, $N30:$AB30, PROGRAM_DIRECTORY!$E$2:$E$334, "Individual"))</f>
        <v>0</v>
      </c>
      <c r="K30" s="75">
        <f>SUMPRODUCT(COUNTIFS(PROGRAM_DIRECTORY!$A$2:$A$334, $N30:$AB30, PROGRAM_DIRECTORY!$E$2:$E$334, "Group"))</f>
        <v>0</v>
      </c>
      <c r="L30" s="75">
        <f t="shared" si="1"/>
        <v>0</v>
      </c>
      <c r="M30" s="75" t="str">
        <f t="shared" si="2"/>
        <v>Min 1 Required (Stage &amp; Non-Stage)</v>
      </c>
      <c r="N30" s="74"/>
      <c r="O30" s="75"/>
      <c r="P30" s="75"/>
      <c r="Q30" s="75"/>
      <c r="R30" s="75"/>
      <c r="S30" s="75"/>
      <c r="T30" s="75"/>
      <c r="U30" s="75"/>
      <c r="V30" s="75"/>
      <c r="W30" s="75"/>
      <c r="X30" s="75"/>
      <c r="AC30" s="79" t="str">
        <f t="shared" si="3"/>
        <v/>
      </c>
    </row>
    <row r="31">
      <c r="A31" s="74">
        <v>110.0</v>
      </c>
      <c r="B31" s="74" t="s">
        <v>660</v>
      </c>
      <c r="C31" s="74">
        <v>9.0</v>
      </c>
      <c r="D31" s="74" t="s">
        <v>8</v>
      </c>
      <c r="E31" s="74" t="s">
        <v>380</v>
      </c>
      <c r="F31" s="74" t="s">
        <v>622</v>
      </c>
      <c r="G31" s="75">
        <f>SUMPRODUCT(COUNTIFS(PROGRAM_DIRECTORY!$A$2:$A$334, $N31:$AB31, PROGRAM_DIRECTORY!$D$2:$D$334, "Non-Stage", PROGRAM_DIRECTORY!$E$2:$E$334, "Individual"))</f>
        <v>0</v>
      </c>
      <c r="H31" s="75">
        <f>SUMPRODUCT(COUNTIFS(PROGRAM_DIRECTORY!$A$2:$A$334, $N31:$AB31, PROGRAM_DIRECTORY!$D$2:$D$334, "Stage", PROGRAM_DIRECTORY!$E$2:$E$334, "Individual"))</f>
        <v>0</v>
      </c>
      <c r="I31" s="75">
        <f>SUMPRODUCT(COUNTIFS(PROGRAM_DIRECTORY!$A$2:$A$334, $N31:$AB31, PROGRAM_DIRECTORY!$D$2:$D$334, "Sports"))</f>
        <v>0</v>
      </c>
      <c r="J31" s="75">
        <f>SUMPRODUCT(COUNTIFS(PROGRAM_DIRECTORY!$A$2:$A$334, $N31:$AB31, PROGRAM_DIRECTORY!$E$2:$E$334, "Individual"))</f>
        <v>0</v>
      </c>
      <c r="K31" s="75">
        <f>SUMPRODUCT(COUNTIFS(PROGRAM_DIRECTORY!$A$2:$A$334, $N31:$AB31, PROGRAM_DIRECTORY!$E$2:$E$334, "Group"))</f>
        <v>0</v>
      </c>
      <c r="L31" s="75">
        <f t="shared" si="1"/>
        <v>0</v>
      </c>
      <c r="M31" s="75" t="str">
        <f t="shared" si="2"/>
        <v>Min 1 Required (Stage &amp; Non-Stage)</v>
      </c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AC31" s="79" t="str">
        <f t="shared" si="3"/>
        <v/>
      </c>
    </row>
    <row r="32">
      <c r="A32" s="74">
        <v>96.0</v>
      </c>
      <c r="B32" s="74" t="s">
        <v>661</v>
      </c>
      <c r="C32" s="74">
        <v>9.0</v>
      </c>
      <c r="D32" s="74" t="s">
        <v>8</v>
      </c>
      <c r="E32" s="74" t="s">
        <v>195</v>
      </c>
      <c r="F32" s="74" t="s">
        <v>622</v>
      </c>
      <c r="G32" s="75">
        <f>SUMPRODUCT(COUNTIFS(PROGRAM_DIRECTORY!$A$2:$A$334, $N32:$AB32, PROGRAM_DIRECTORY!$D$2:$D$334, "Non-Stage", PROGRAM_DIRECTORY!$E$2:$E$334, "Individual"))</f>
        <v>0</v>
      </c>
      <c r="H32" s="75">
        <f>SUMPRODUCT(COUNTIFS(PROGRAM_DIRECTORY!$A$2:$A$334, $N32:$AB32, PROGRAM_DIRECTORY!$D$2:$D$334, "Stage", PROGRAM_DIRECTORY!$E$2:$E$334, "Individual"))</f>
        <v>0</v>
      </c>
      <c r="I32" s="75">
        <f>SUMPRODUCT(COUNTIFS(PROGRAM_DIRECTORY!$A$2:$A$334, $N32:$AB32, PROGRAM_DIRECTORY!$D$2:$D$334, "Sports"))</f>
        <v>0</v>
      </c>
      <c r="J32" s="75">
        <f>SUMPRODUCT(COUNTIFS(PROGRAM_DIRECTORY!$A$2:$A$334, $N32:$AB32, PROGRAM_DIRECTORY!$E$2:$E$334, "Individual"))</f>
        <v>0</v>
      </c>
      <c r="K32" s="75">
        <f>SUMPRODUCT(COUNTIFS(PROGRAM_DIRECTORY!$A$2:$A$334, $N32:$AB32, PROGRAM_DIRECTORY!$E$2:$E$334, "Group"))</f>
        <v>0</v>
      </c>
      <c r="L32" s="75">
        <f t="shared" si="1"/>
        <v>0</v>
      </c>
      <c r="M32" s="75" t="str">
        <f t="shared" si="2"/>
        <v>Min 1 Required (Stage &amp; Non-Stage)</v>
      </c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AC32" s="79" t="str">
        <f t="shared" si="3"/>
        <v/>
      </c>
    </row>
    <row r="33">
      <c r="A33" s="74">
        <v>90.0</v>
      </c>
      <c r="B33" s="74" t="s">
        <v>663</v>
      </c>
      <c r="C33" s="74">
        <v>9.0</v>
      </c>
      <c r="D33" s="74" t="s">
        <v>8</v>
      </c>
      <c r="E33" s="74" t="s">
        <v>195</v>
      </c>
      <c r="F33" s="74" t="s">
        <v>622</v>
      </c>
      <c r="G33" s="75">
        <f>SUMPRODUCT(COUNTIFS(PROGRAM_DIRECTORY!$A$2:$A$334, $N33:$AB33, PROGRAM_DIRECTORY!$D$2:$D$334, "Non-Stage", PROGRAM_DIRECTORY!$E$2:$E$334, "Individual"))</f>
        <v>0</v>
      </c>
      <c r="H33" s="75">
        <f>SUMPRODUCT(COUNTIFS(PROGRAM_DIRECTORY!$A$2:$A$334, $N33:$AB33, PROGRAM_DIRECTORY!$D$2:$D$334, "Stage", PROGRAM_DIRECTORY!$E$2:$E$334, "Individual"))</f>
        <v>0</v>
      </c>
      <c r="I33" s="75">
        <f>SUMPRODUCT(COUNTIFS(PROGRAM_DIRECTORY!$A$2:$A$334, $N33:$AB33, PROGRAM_DIRECTORY!$D$2:$D$334, "Sports"))</f>
        <v>0</v>
      </c>
      <c r="J33" s="75">
        <f>SUMPRODUCT(COUNTIFS(PROGRAM_DIRECTORY!$A$2:$A$334, $N33:$AB33, PROGRAM_DIRECTORY!$E$2:$E$334, "Individual"))</f>
        <v>0</v>
      </c>
      <c r="K33" s="75">
        <f>SUMPRODUCT(COUNTIFS(PROGRAM_DIRECTORY!$A$2:$A$334, $N33:$AB33, PROGRAM_DIRECTORY!$E$2:$E$334, "Group"))</f>
        <v>0</v>
      </c>
      <c r="L33" s="75">
        <f t="shared" si="1"/>
        <v>0</v>
      </c>
      <c r="M33" s="75" t="str">
        <f t="shared" si="2"/>
        <v>Min 1 Required (Stage &amp; Non-Stage)</v>
      </c>
      <c r="N33" s="74"/>
      <c r="O33" s="75"/>
      <c r="P33" s="75"/>
      <c r="Q33" s="75"/>
      <c r="R33" s="75"/>
      <c r="S33" s="75"/>
      <c r="T33" s="75"/>
      <c r="U33" s="75"/>
      <c r="V33" s="75"/>
      <c r="W33" s="75"/>
      <c r="X33" s="75"/>
      <c r="AC33" s="79" t="str">
        <f t="shared" si="3"/>
        <v/>
      </c>
    </row>
    <row r="34">
      <c r="A34" s="74">
        <v>98.0</v>
      </c>
      <c r="B34" s="74" t="s">
        <v>664</v>
      </c>
      <c r="C34" s="74">
        <v>9.0</v>
      </c>
      <c r="D34" s="74" t="s">
        <v>8</v>
      </c>
      <c r="E34" s="74" t="s">
        <v>331</v>
      </c>
      <c r="F34" s="74" t="s">
        <v>622</v>
      </c>
      <c r="G34" s="75">
        <f>SUMPRODUCT(COUNTIFS(PROGRAM_DIRECTORY!$A$2:$A$334, $N34:$AB34, PROGRAM_DIRECTORY!$D$2:$D$334, "Non-Stage", PROGRAM_DIRECTORY!$E$2:$E$334, "Individual"))</f>
        <v>0</v>
      </c>
      <c r="H34" s="75">
        <f>SUMPRODUCT(COUNTIFS(PROGRAM_DIRECTORY!$A$2:$A$334, $N34:$AB34, PROGRAM_DIRECTORY!$D$2:$D$334, "Stage", PROGRAM_DIRECTORY!$E$2:$E$334, "Individual"))</f>
        <v>0</v>
      </c>
      <c r="I34" s="75">
        <f>SUMPRODUCT(COUNTIFS(PROGRAM_DIRECTORY!$A$2:$A$334, $N34:$AB34, PROGRAM_DIRECTORY!$D$2:$D$334, "Sports"))</f>
        <v>0</v>
      </c>
      <c r="J34" s="75">
        <f>SUMPRODUCT(COUNTIFS(PROGRAM_DIRECTORY!$A$2:$A$334, $N34:$AB34, PROGRAM_DIRECTORY!$E$2:$E$334, "Individual"))</f>
        <v>0</v>
      </c>
      <c r="K34" s="75">
        <f>SUMPRODUCT(COUNTIFS(PROGRAM_DIRECTORY!$A$2:$A$334, $N34:$AB34, PROGRAM_DIRECTORY!$E$2:$E$334, "Group"))</f>
        <v>0</v>
      </c>
      <c r="L34" s="75">
        <f t="shared" si="1"/>
        <v>0</v>
      </c>
      <c r="M34" s="75" t="str">
        <f t="shared" si="2"/>
        <v>Min 1 Required (Stage &amp; Non-Stage)</v>
      </c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AC34" s="79" t="str">
        <f t="shared" si="3"/>
        <v/>
      </c>
    </row>
    <row r="35">
      <c r="A35" s="74">
        <v>401.0</v>
      </c>
      <c r="B35" s="74" t="s">
        <v>665</v>
      </c>
      <c r="C35" s="74">
        <v>9.0</v>
      </c>
      <c r="D35" s="74" t="s">
        <v>8</v>
      </c>
      <c r="E35" s="74" t="s">
        <v>450</v>
      </c>
      <c r="F35" s="74" t="s">
        <v>622</v>
      </c>
      <c r="G35" s="75">
        <f>SUMPRODUCT(COUNTIFS(PROGRAM_DIRECTORY!$A$2:$A$334, $N35:$AB35, PROGRAM_DIRECTORY!$D$2:$D$334, "Non-Stage", PROGRAM_DIRECTORY!$E$2:$E$334, "Individual"))</f>
        <v>0</v>
      </c>
      <c r="H35" s="75">
        <f>SUMPRODUCT(COUNTIFS(PROGRAM_DIRECTORY!$A$2:$A$334, $N35:$AB35, PROGRAM_DIRECTORY!$D$2:$D$334, "Stage", PROGRAM_DIRECTORY!$E$2:$E$334, "Individual"))</f>
        <v>0</v>
      </c>
      <c r="I35" s="75">
        <f>SUMPRODUCT(COUNTIFS(PROGRAM_DIRECTORY!$A$2:$A$334, $N35:$AB35, PROGRAM_DIRECTORY!$D$2:$D$334, "Sports"))</f>
        <v>0</v>
      </c>
      <c r="J35" s="75">
        <f>SUMPRODUCT(COUNTIFS(PROGRAM_DIRECTORY!$A$2:$A$334, $N35:$AB35, PROGRAM_DIRECTORY!$E$2:$E$334, "Individual"))</f>
        <v>0</v>
      </c>
      <c r="K35" s="75">
        <f>SUMPRODUCT(COUNTIFS(PROGRAM_DIRECTORY!$A$2:$A$334, $N35:$AB35, PROGRAM_DIRECTORY!$E$2:$E$334, "Group"))</f>
        <v>0</v>
      </c>
      <c r="L35" s="75">
        <f t="shared" si="1"/>
        <v>0</v>
      </c>
      <c r="M35" s="75" t="str">
        <f t="shared" si="2"/>
        <v>Min 1 Required (Stage &amp; Non-Stage)</v>
      </c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AC35" s="79" t="str">
        <f t="shared" si="3"/>
        <v/>
      </c>
    </row>
    <row r="36">
      <c r="A36" s="74">
        <v>123.0</v>
      </c>
      <c r="B36" s="74" t="s">
        <v>666</v>
      </c>
      <c r="C36" s="74">
        <v>9.0</v>
      </c>
      <c r="D36" s="74" t="s">
        <v>8</v>
      </c>
      <c r="E36" s="74" t="s">
        <v>195</v>
      </c>
      <c r="F36" s="74" t="s">
        <v>622</v>
      </c>
      <c r="G36" s="75">
        <f>SUMPRODUCT(COUNTIFS(PROGRAM_DIRECTORY!$A$2:$A$334, $N36:$AB36, PROGRAM_DIRECTORY!$D$2:$D$334, "Non-Stage", PROGRAM_DIRECTORY!$E$2:$E$334, "Individual"))</f>
        <v>0</v>
      </c>
      <c r="H36" s="75">
        <f>SUMPRODUCT(COUNTIFS(PROGRAM_DIRECTORY!$A$2:$A$334, $N36:$AB36, PROGRAM_DIRECTORY!$D$2:$D$334, "Stage", PROGRAM_DIRECTORY!$E$2:$E$334, "Individual"))</f>
        <v>0</v>
      </c>
      <c r="I36" s="75">
        <f>SUMPRODUCT(COUNTIFS(PROGRAM_DIRECTORY!$A$2:$A$334, $N36:$AB36, PROGRAM_DIRECTORY!$D$2:$D$334, "Sports"))</f>
        <v>0</v>
      </c>
      <c r="J36" s="75">
        <f>SUMPRODUCT(COUNTIFS(PROGRAM_DIRECTORY!$A$2:$A$334, $N36:$AB36, PROGRAM_DIRECTORY!$E$2:$E$334, "Individual"))</f>
        <v>0</v>
      </c>
      <c r="K36" s="75">
        <f>SUMPRODUCT(COUNTIFS(PROGRAM_DIRECTORY!$A$2:$A$334, $N36:$AB36, PROGRAM_DIRECTORY!$E$2:$E$334, "Group"))</f>
        <v>0</v>
      </c>
      <c r="L36" s="75">
        <f t="shared" si="1"/>
        <v>0</v>
      </c>
      <c r="M36" s="75" t="str">
        <f t="shared" si="2"/>
        <v>Min 1 Required (Stage &amp; Non-Stage)</v>
      </c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AC36" s="79" t="str">
        <f t="shared" si="3"/>
        <v/>
      </c>
    </row>
    <row r="37">
      <c r="A37" s="74">
        <v>101.0</v>
      </c>
      <c r="B37" s="74" t="s">
        <v>667</v>
      </c>
      <c r="C37" s="74">
        <v>9.0</v>
      </c>
      <c r="D37" s="74" t="s">
        <v>8</v>
      </c>
      <c r="E37" s="74" t="s">
        <v>195</v>
      </c>
      <c r="F37" s="74" t="s">
        <v>622</v>
      </c>
      <c r="G37" s="75">
        <f>SUMPRODUCT(COUNTIFS(PROGRAM_DIRECTORY!$A$2:$A$334, $N37:$AB37, PROGRAM_DIRECTORY!$D$2:$D$334, "Non-Stage", PROGRAM_DIRECTORY!$E$2:$E$334, "Individual"))</f>
        <v>0</v>
      </c>
      <c r="H37" s="75">
        <f>SUMPRODUCT(COUNTIFS(PROGRAM_DIRECTORY!$A$2:$A$334, $N37:$AB37, PROGRAM_DIRECTORY!$D$2:$D$334, "Stage", PROGRAM_DIRECTORY!$E$2:$E$334, "Individual"))</f>
        <v>0</v>
      </c>
      <c r="I37" s="75">
        <f>SUMPRODUCT(COUNTIFS(PROGRAM_DIRECTORY!$A$2:$A$334, $N37:$AB37, PROGRAM_DIRECTORY!$D$2:$D$334, "Sports"))</f>
        <v>0</v>
      </c>
      <c r="J37" s="75">
        <f>SUMPRODUCT(COUNTIFS(PROGRAM_DIRECTORY!$A$2:$A$334, $N37:$AB37, PROGRAM_DIRECTORY!$E$2:$E$334, "Individual"))</f>
        <v>0</v>
      </c>
      <c r="K37" s="75">
        <f>SUMPRODUCT(COUNTIFS(PROGRAM_DIRECTORY!$A$2:$A$334, $N37:$AB37, PROGRAM_DIRECTORY!$E$2:$E$334, "Group"))</f>
        <v>0</v>
      </c>
      <c r="L37" s="75">
        <f t="shared" si="1"/>
        <v>0</v>
      </c>
      <c r="M37" s="75" t="str">
        <f t="shared" si="2"/>
        <v>Min 1 Required (Stage &amp; Non-Stage)</v>
      </c>
      <c r="N37" s="74"/>
      <c r="O37" s="75"/>
      <c r="P37" s="75"/>
      <c r="Q37" s="75"/>
      <c r="R37" s="75"/>
      <c r="S37" s="75"/>
      <c r="T37" s="75"/>
      <c r="U37" s="75"/>
      <c r="V37" s="75"/>
      <c r="W37" s="75"/>
      <c r="X37" s="75"/>
      <c r="AC37" s="79" t="str">
        <f t="shared" si="3"/>
        <v/>
      </c>
    </row>
    <row r="38">
      <c r="A38" s="74">
        <v>115.0</v>
      </c>
      <c r="B38" s="74" t="s">
        <v>668</v>
      </c>
      <c r="C38" s="74">
        <v>9.0</v>
      </c>
      <c r="D38" s="74" t="s">
        <v>8</v>
      </c>
      <c r="E38" s="74" t="s">
        <v>380</v>
      </c>
      <c r="F38" s="74" t="s">
        <v>622</v>
      </c>
      <c r="G38" s="75">
        <f>SUMPRODUCT(COUNTIFS(PROGRAM_DIRECTORY!$A$2:$A$334, $N38:$AB38, PROGRAM_DIRECTORY!$D$2:$D$334, "Non-Stage", PROGRAM_DIRECTORY!$E$2:$E$334, "Individual"))</f>
        <v>0</v>
      </c>
      <c r="H38" s="75">
        <f>SUMPRODUCT(COUNTIFS(PROGRAM_DIRECTORY!$A$2:$A$334, $N38:$AB38, PROGRAM_DIRECTORY!$D$2:$D$334, "Stage", PROGRAM_DIRECTORY!$E$2:$E$334, "Individual"))</f>
        <v>0</v>
      </c>
      <c r="I38" s="75">
        <f>SUMPRODUCT(COUNTIFS(PROGRAM_DIRECTORY!$A$2:$A$334, $N38:$AB38, PROGRAM_DIRECTORY!$D$2:$D$334, "Sports"))</f>
        <v>0</v>
      </c>
      <c r="J38" s="75">
        <f>SUMPRODUCT(COUNTIFS(PROGRAM_DIRECTORY!$A$2:$A$334, $N38:$AB38, PROGRAM_DIRECTORY!$E$2:$E$334, "Individual"))</f>
        <v>0</v>
      </c>
      <c r="K38" s="75">
        <f>SUMPRODUCT(COUNTIFS(PROGRAM_DIRECTORY!$A$2:$A$334, $N38:$AB38, PROGRAM_DIRECTORY!$E$2:$E$334, "Group"))</f>
        <v>0</v>
      </c>
      <c r="L38" s="75">
        <f t="shared" si="1"/>
        <v>0</v>
      </c>
      <c r="M38" s="75" t="str">
        <f t="shared" si="2"/>
        <v>Min 1 Required (Stage &amp; Non-Stage)</v>
      </c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AC38" s="79" t="str">
        <f t="shared" si="3"/>
        <v/>
      </c>
    </row>
    <row r="39">
      <c r="A39" s="74">
        <v>106.0</v>
      </c>
      <c r="B39" s="74" t="s">
        <v>669</v>
      </c>
      <c r="C39" s="74">
        <v>9.0</v>
      </c>
      <c r="D39" s="74" t="s">
        <v>8</v>
      </c>
      <c r="E39" s="74" t="s">
        <v>450</v>
      </c>
      <c r="F39" s="74" t="s">
        <v>622</v>
      </c>
      <c r="G39" s="75">
        <f>SUMPRODUCT(COUNTIFS(PROGRAM_DIRECTORY!$A$2:$A$334, $N39:$AB39, PROGRAM_DIRECTORY!$D$2:$D$334, "Non-Stage", PROGRAM_DIRECTORY!$E$2:$E$334, "Individual"))</f>
        <v>0</v>
      </c>
      <c r="H39" s="75">
        <f>SUMPRODUCT(COUNTIFS(PROGRAM_DIRECTORY!$A$2:$A$334, $N39:$AB39, PROGRAM_DIRECTORY!$D$2:$D$334, "Stage", PROGRAM_DIRECTORY!$E$2:$E$334, "Individual"))</f>
        <v>0</v>
      </c>
      <c r="I39" s="75">
        <f>SUMPRODUCT(COUNTIFS(PROGRAM_DIRECTORY!$A$2:$A$334, $N39:$AB39, PROGRAM_DIRECTORY!$D$2:$D$334, "Sports"))</f>
        <v>0</v>
      </c>
      <c r="J39" s="75">
        <f>SUMPRODUCT(COUNTIFS(PROGRAM_DIRECTORY!$A$2:$A$334, $N39:$AB39, PROGRAM_DIRECTORY!$E$2:$E$334, "Individual"))</f>
        <v>0</v>
      </c>
      <c r="K39" s="75">
        <f>SUMPRODUCT(COUNTIFS(PROGRAM_DIRECTORY!$A$2:$A$334, $N39:$AB39, PROGRAM_DIRECTORY!$E$2:$E$334, "Group"))</f>
        <v>0</v>
      </c>
      <c r="L39" s="75">
        <f t="shared" si="1"/>
        <v>0</v>
      </c>
      <c r="M39" s="75" t="str">
        <f t="shared" si="2"/>
        <v>Min 1 Required (Stage &amp; Non-Stage)</v>
      </c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AC39" s="79" t="str">
        <f t="shared" si="3"/>
        <v/>
      </c>
    </row>
    <row r="40">
      <c r="A40" s="74">
        <v>348.0</v>
      </c>
      <c r="B40" s="74" t="s">
        <v>670</v>
      </c>
      <c r="C40" s="74">
        <v>9.0</v>
      </c>
      <c r="D40" s="74" t="s">
        <v>8</v>
      </c>
      <c r="E40" s="74" t="s">
        <v>380</v>
      </c>
      <c r="F40" s="74" t="s">
        <v>622</v>
      </c>
      <c r="G40" s="75">
        <f>SUMPRODUCT(COUNTIFS(PROGRAM_DIRECTORY!$A$2:$A$334, $N40:$AB40, PROGRAM_DIRECTORY!$D$2:$D$334, "Non-Stage", PROGRAM_DIRECTORY!$E$2:$E$334, "Individual"))</f>
        <v>0</v>
      </c>
      <c r="H40" s="75">
        <f>SUMPRODUCT(COUNTIFS(PROGRAM_DIRECTORY!$A$2:$A$334, $N40:$AB40, PROGRAM_DIRECTORY!$D$2:$D$334, "Stage", PROGRAM_DIRECTORY!$E$2:$E$334, "Individual"))</f>
        <v>0</v>
      </c>
      <c r="I40" s="75">
        <f>SUMPRODUCT(COUNTIFS(PROGRAM_DIRECTORY!$A$2:$A$334, $N40:$AB40, PROGRAM_DIRECTORY!$D$2:$D$334, "Sports"))</f>
        <v>0</v>
      </c>
      <c r="J40" s="75">
        <f>SUMPRODUCT(COUNTIFS(PROGRAM_DIRECTORY!$A$2:$A$334, $N40:$AB40, PROGRAM_DIRECTORY!$E$2:$E$334, "Individual"))</f>
        <v>0</v>
      </c>
      <c r="K40" s="75">
        <f>SUMPRODUCT(COUNTIFS(PROGRAM_DIRECTORY!$A$2:$A$334, $N40:$AB40, PROGRAM_DIRECTORY!$E$2:$E$334, "Group"))</f>
        <v>0</v>
      </c>
      <c r="L40" s="75">
        <f t="shared" si="1"/>
        <v>0</v>
      </c>
      <c r="M40" s="75" t="str">
        <f t="shared" si="2"/>
        <v>Min 1 Required (Stage &amp; Non-Stage)</v>
      </c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AC40" s="79" t="str">
        <f t="shared" si="3"/>
        <v/>
      </c>
    </row>
    <row r="41">
      <c r="A41" s="74">
        <v>403.0</v>
      </c>
      <c r="B41" s="74" t="s">
        <v>677</v>
      </c>
      <c r="C41" s="74">
        <v>9.0</v>
      </c>
      <c r="D41" s="74" t="s">
        <v>8</v>
      </c>
      <c r="E41" s="74" t="s">
        <v>331</v>
      </c>
      <c r="F41" s="74" t="s">
        <v>622</v>
      </c>
      <c r="G41" s="75">
        <f>SUMPRODUCT(COUNTIFS(PROGRAM_DIRECTORY!$A$2:$A$334, $N41:$AB41, PROGRAM_DIRECTORY!$D$2:$D$334, "Non-Stage", PROGRAM_DIRECTORY!$E$2:$E$334, "Individual"))</f>
        <v>0</v>
      </c>
      <c r="H41" s="75">
        <f>SUMPRODUCT(COUNTIFS(PROGRAM_DIRECTORY!$A$2:$A$334, $N41:$AB41, PROGRAM_DIRECTORY!$D$2:$D$334, "Stage", PROGRAM_DIRECTORY!$E$2:$E$334, "Individual"))</f>
        <v>0</v>
      </c>
      <c r="I41" s="75">
        <f>SUMPRODUCT(COUNTIFS(PROGRAM_DIRECTORY!$A$2:$A$334, $N41:$AB41, PROGRAM_DIRECTORY!$D$2:$D$334, "Sports"))</f>
        <v>0</v>
      </c>
      <c r="J41" s="75">
        <f>SUMPRODUCT(COUNTIFS(PROGRAM_DIRECTORY!$A$2:$A$334, $N41:$AB41, PROGRAM_DIRECTORY!$E$2:$E$334, "Individual"))</f>
        <v>0</v>
      </c>
      <c r="K41" s="75">
        <f>SUMPRODUCT(COUNTIFS(PROGRAM_DIRECTORY!$A$2:$A$334, $N41:$AB41, PROGRAM_DIRECTORY!$E$2:$E$334, "Group"))</f>
        <v>0</v>
      </c>
      <c r="L41" s="75">
        <f t="shared" si="1"/>
        <v>0</v>
      </c>
      <c r="M41" s="75" t="str">
        <f t="shared" si="2"/>
        <v>Min 1 Required (Stage &amp; Non-Stage)</v>
      </c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AC41" s="79" t="str">
        <f t="shared" si="3"/>
        <v/>
      </c>
    </row>
    <row r="42">
      <c r="A42" s="74">
        <v>105.0</v>
      </c>
      <c r="B42" s="74" t="s">
        <v>679</v>
      </c>
      <c r="C42" s="74">
        <v>9.0</v>
      </c>
      <c r="D42" s="74" t="s">
        <v>8</v>
      </c>
      <c r="E42" s="74" t="s">
        <v>380</v>
      </c>
      <c r="F42" s="74" t="s">
        <v>622</v>
      </c>
      <c r="G42" s="75">
        <f>SUMPRODUCT(COUNTIFS(PROGRAM_DIRECTORY!$A$2:$A$334, $N42:$AB42, PROGRAM_DIRECTORY!$D$2:$D$334, "Non-Stage", PROGRAM_DIRECTORY!$E$2:$E$334, "Individual"))</f>
        <v>0</v>
      </c>
      <c r="H42" s="75">
        <f>SUMPRODUCT(COUNTIFS(PROGRAM_DIRECTORY!$A$2:$A$334, $N42:$AB42, PROGRAM_DIRECTORY!$D$2:$D$334, "Stage", PROGRAM_DIRECTORY!$E$2:$E$334, "Individual"))</f>
        <v>0</v>
      </c>
      <c r="I42" s="75">
        <f>SUMPRODUCT(COUNTIFS(PROGRAM_DIRECTORY!$A$2:$A$334, $N42:$AB42, PROGRAM_DIRECTORY!$D$2:$D$334, "Sports"))</f>
        <v>0</v>
      </c>
      <c r="J42" s="75">
        <f>SUMPRODUCT(COUNTIFS(PROGRAM_DIRECTORY!$A$2:$A$334, $N42:$AB42, PROGRAM_DIRECTORY!$E$2:$E$334, "Individual"))</f>
        <v>0</v>
      </c>
      <c r="K42" s="75">
        <f>SUMPRODUCT(COUNTIFS(PROGRAM_DIRECTORY!$A$2:$A$334, $N42:$AB42, PROGRAM_DIRECTORY!$E$2:$E$334, "Group"))</f>
        <v>0</v>
      </c>
      <c r="L42" s="75">
        <f t="shared" si="1"/>
        <v>0</v>
      </c>
      <c r="M42" s="75" t="str">
        <f t="shared" si="2"/>
        <v>Min 1 Required (Stage &amp; Non-Stage)</v>
      </c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AC42" s="79" t="str">
        <f t="shared" si="3"/>
        <v/>
      </c>
    </row>
    <row r="43">
      <c r="A43" s="74">
        <v>116.0</v>
      </c>
      <c r="B43" s="74" t="s">
        <v>680</v>
      </c>
      <c r="C43" s="74">
        <v>9.0</v>
      </c>
      <c r="D43" s="74" t="s">
        <v>8</v>
      </c>
      <c r="E43" s="74" t="s">
        <v>331</v>
      </c>
      <c r="F43" s="74" t="s">
        <v>622</v>
      </c>
      <c r="G43" s="75">
        <f>SUMPRODUCT(COUNTIFS(PROGRAM_DIRECTORY!$A$2:$A$334, $N43:$AB43, PROGRAM_DIRECTORY!$D$2:$D$334, "Non-Stage", PROGRAM_DIRECTORY!$E$2:$E$334, "Individual"))</f>
        <v>0</v>
      </c>
      <c r="H43" s="75">
        <f>SUMPRODUCT(COUNTIFS(PROGRAM_DIRECTORY!$A$2:$A$334, $N43:$AB43, PROGRAM_DIRECTORY!$D$2:$D$334, "Stage", PROGRAM_DIRECTORY!$E$2:$E$334, "Individual"))</f>
        <v>0</v>
      </c>
      <c r="I43" s="75">
        <f>SUMPRODUCT(COUNTIFS(PROGRAM_DIRECTORY!$A$2:$A$334, $N43:$AB43, PROGRAM_DIRECTORY!$D$2:$D$334, "Sports"))</f>
        <v>0</v>
      </c>
      <c r="J43" s="75">
        <f>SUMPRODUCT(COUNTIFS(PROGRAM_DIRECTORY!$A$2:$A$334, $N43:$AB43, PROGRAM_DIRECTORY!$E$2:$E$334, "Individual"))</f>
        <v>0</v>
      </c>
      <c r="K43" s="75">
        <f>SUMPRODUCT(COUNTIFS(PROGRAM_DIRECTORY!$A$2:$A$334, $N43:$AB43, PROGRAM_DIRECTORY!$E$2:$E$334, "Group"))</f>
        <v>0</v>
      </c>
      <c r="L43" s="75">
        <f t="shared" si="1"/>
        <v>0</v>
      </c>
      <c r="M43" s="75" t="str">
        <f t="shared" si="2"/>
        <v>Min 1 Required (Stage &amp; Non-Stage)</v>
      </c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AC43" s="79" t="str">
        <f t="shared" si="3"/>
        <v/>
      </c>
    </row>
    <row r="44">
      <c r="A44" s="74">
        <v>70.0</v>
      </c>
      <c r="B44" s="74" t="s">
        <v>681</v>
      </c>
      <c r="C44" s="74">
        <v>9.0</v>
      </c>
      <c r="D44" s="74" t="s">
        <v>8</v>
      </c>
      <c r="E44" s="74" t="s">
        <v>331</v>
      </c>
      <c r="F44" s="74" t="s">
        <v>622</v>
      </c>
      <c r="G44" s="75">
        <f>SUMPRODUCT(COUNTIFS(PROGRAM_DIRECTORY!$A$2:$A$334, $N44:$AB44, PROGRAM_DIRECTORY!$D$2:$D$334, "Non-Stage", PROGRAM_DIRECTORY!$E$2:$E$334, "Individual"))</f>
        <v>0</v>
      </c>
      <c r="H44" s="75">
        <f>SUMPRODUCT(COUNTIFS(PROGRAM_DIRECTORY!$A$2:$A$334, $N44:$AB44, PROGRAM_DIRECTORY!$D$2:$D$334, "Stage", PROGRAM_DIRECTORY!$E$2:$E$334, "Individual"))</f>
        <v>0</v>
      </c>
      <c r="I44" s="75">
        <f>SUMPRODUCT(COUNTIFS(PROGRAM_DIRECTORY!$A$2:$A$334, $N44:$AB44, PROGRAM_DIRECTORY!$D$2:$D$334, "Sports"))</f>
        <v>0</v>
      </c>
      <c r="J44" s="75">
        <f>SUMPRODUCT(COUNTIFS(PROGRAM_DIRECTORY!$A$2:$A$334, $N44:$AB44, PROGRAM_DIRECTORY!$E$2:$E$334, "Individual"))</f>
        <v>0</v>
      </c>
      <c r="K44" s="75">
        <f>SUMPRODUCT(COUNTIFS(PROGRAM_DIRECTORY!$A$2:$A$334, $N44:$AB44, PROGRAM_DIRECTORY!$E$2:$E$334, "Group"))</f>
        <v>0</v>
      </c>
      <c r="L44" s="75">
        <f t="shared" si="1"/>
        <v>0</v>
      </c>
      <c r="M44" s="75" t="str">
        <f t="shared" si="2"/>
        <v>Min 1 Required (Stage &amp; Non-Stage)</v>
      </c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AC44" s="79" t="str">
        <f t="shared" si="3"/>
        <v/>
      </c>
    </row>
    <row r="45">
      <c r="A45" s="74">
        <v>402.0</v>
      </c>
      <c r="B45" s="74" t="s">
        <v>682</v>
      </c>
      <c r="C45" s="74">
        <v>9.0</v>
      </c>
      <c r="D45" s="74" t="s">
        <v>8</v>
      </c>
      <c r="E45" s="74" t="s">
        <v>195</v>
      </c>
      <c r="F45" s="74" t="s">
        <v>622</v>
      </c>
      <c r="G45" s="75">
        <f>SUMPRODUCT(COUNTIFS(PROGRAM_DIRECTORY!$A$2:$A$334, $N45:$AB45, PROGRAM_DIRECTORY!$D$2:$D$334, "Non-Stage", PROGRAM_DIRECTORY!$E$2:$E$334, "Individual"))</f>
        <v>0</v>
      </c>
      <c r="H45" s="75">
        <f>SUMPRODUCT(COUNTIFS(PROGRAM_DIRECTORY!$A$2:$A$334, $N45:$AB45, PROGRAM_DIRECTORY!$D$2:$D$334, "Stage", PROGRAM_DIRECTORY!$E$2:$E$334, "Individual"))</f>
        <v>0</v>
      </c>
      <c r="I45" s="75">
        <f>SUMPRODUCT(COUNTIFS(PROGRAM_DIRECTORY!$A$2:$A$334, $N45:$AB45, PROGRAM_DIRECTORY!$D$2:$D$334, "Sports"))</f>
        <v>0</v>
      </c>
      <c r="J45" s="75">
        <f>SUMPRODUCT(COUNTIFS(PROGRAM_DIRECTORY!$A$2:$A$334, $N45:$AB45, PROGRAM_DIRECTORY!$E$2:$E$334, "Individual"))</f>
        <v>0</v>
      </c>
      <c r="K45" s="75">
        <f>SUMPRODUCT(COUNTIFS(PROGRAM_DIRECTORY!$A$2:$A$334, $N45:$AB45, PROGRAM_DIRECTORY!$E$2:$E$334, "Group"))</f>
        <v>0</v>
      </c>
      <c r="L45" s="75">
        <f t="shared" si="1"/>
        <v>0</v>
      </c>
      <c r="M45" s="75" t="str">
        <f t="shared" si="2"/>
        <v>Min 1 Required (Stage &amp; Non-Stage)</v>
      </c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AC45" s="79" t="str">
        <f t="shared" si="3"/>
        <v/>
      </c>
    </row>
    <row r="46">
      <c r="A46" s="74">
        <v>103.0</v>
      </c>
      <c r="B46" s="74" t="s">
        <v>686</v>
      </c>
      <c r="C46" s="74">
        <v>9.0</v>
      </c>
      <c r="D46" s="74" t="s">
        <v>8</v>
      </c>
      <c r="E46" s="74" t="s">
        <v>450</v>
      </c>
      <c r="F46" s="74" t="s">
        <v>622</v>
      </c>
      <c r="G46" s="75">
        <f>SUMPRODUCT(COUNTIFS(PROGRAM_DIRECTORY!$A$2:$A$334, $N46:$AB46, PROGRAM_DIRECTORY!$D$2:$D$334, "Non-Stage", PROGRAM_DIRECTORY!$E$2:$E$334, "Individual"))</f>
        <v>0</v>
      </c>
      <c r="H46" s="75">
        <f>SUMPRODUCT(COUNTIFS(PROGRAM_DIRECTORY!$A$2:$A$334, $N46:$AB46, PROGRAM_DIRECTORY!$D$2:$D$334, "Stage", PROGRAM_DIRECTORY!$E$2:$E$334, "Individual"))</f>
        <v>0</v>
      </c>
      <c r="I46" s="75">
        <f>SUMPRODUCT(COUNTIFS(PROGRAM_DIRECTORY!$A$2:$A$334, $N46:$AB46, PROGRAM_DIRECTORY!$D$2:$D$334, "Sports"))</f>
        <v>0</v>
      </c>
      <c r="J46" s="75">
        <f>SUMPRODUCT(COUNTIFS(PROGRAM_DIRECTORY!$A$2:$A$334, $N46:$AB46, PROGRAM_DIRECTORY!$E$2:$E$334, "Individual"))</f>
        <v>0</v>
      </c>
      <c r="K46" s="75">
        <f>SUMPRODUCT(COUNTIFS(PROGRAM_DIRECTORY!$A$2:$A$334, $N46:$AB46, PROGRAM_DIRECTORY!$E$2:$E$334, "Group"))</f>
        <v>0</v>
      </c>
      <c r="L46" s="75">
        <f t="shared" si="1"/>
        <v>0</v>
      </c>
      <c r="M46" s="75" t="str">
        <f t="shared" si="2"/>
        <v>Min 1 Required (Stage &amp; Non-Stage)</v>
      </c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AC46" s="79" t="str">
        <f t="shared" si="3"/>
        <v/>
      </c>
    </row>
    <row r="47">
      <c r="A47" s="74">
        <v>397.0</v>
      </c>
      <c r="B47" s="74" t="s">
        <v>691</v>
      </c>
      <c r="C47" s="74">
        <v>9.0</v>
      </c>
      <c r="D47" s="74" t="s">
        <v>8</v>
      </c>
      <c r="E47" s="74" t="s">
        <v>195</v>
      </c>
      <c r="F47" s="74" t="s">
        <v>622</v>
      </c>
      <c r="G47" s="75">
        <f>SUMPRODUCT(COUNTIFS(PROGRAM_DIRECTORY!$A$2:$A$334, $N47:$AB47, PROGRAM_DIRECTORY!$D$2:$D$334, "Non-Stage", PROGRAM_DIRECTORY!$E$2:$E$334, "Individual"))</f>
        <v>0</v>
      </c>
      <c r="H47" s="75">
        <f>SUMPRODUCT(COUNTIFS(PROGRAM_DIRECTORY!$A$2:$A$334, $N47:$AB47, PROGRAM_DIRECTORY!$D$2:$D$334, "Stage", PROGRAM_DIRECTORY!$E$2:$E$334, "Individual"))</f>
        <v>0</v>
      </c>
      <c r="I47" s="75">
        <f>SUMPRODUCT(COUNTIFS(PROGRAM_DIRECTORY!$A$2:$A$334, $N47:$AB47, PROGRAM_DIRECTORY!$D$2:$D$334, "Sports"))</f>
        <v>0</v>
      </c>
      <c r="J47" s="75">
        <f>SUMPRODUCT(COUNTIFS(PROGRAM_DIRECTORY!$A$2:$A$334, $N47:$AB47, PROGRAM_DIRECTORY!$E$2:$E$334, "Individual"))</f>
        <v>0</v>
      </c>
      <c r="K47" s="75">
        <f>SUMPRODUCT(COUNTIFS(PROGRAM_DIRECTORY!$A$2:$A$334, $N47:$AB47, PROGRAM_DIRECTORY!$E$2:$E$334, "Group"))</f>
        <v>0</v>
      </c>
      <c r="L47" s="75">
        <f t="shared" si="1"/>
        <v>0</v>
      </c>
      <c r="M47" s="75" t="str">
        <f t="shared" si="2"/>
        <v>Min 1 Required (Stage &amp; Non-Stage)</v>
      </c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AC47" s="79" t="str">
        <f t="shared" si="3"/>
        <v/>
      </c>
    </row>
    <row r="48">
      <c r="A48" s="74">
        <v>92.0</v>
      </c>
      <c r="B48" s="74" t="s">
        <v>692</v>
      </c>
      <c r="C48" s="74">
        <v>9.0</v>
      </c>
      <c r="D48" s="74" t="s">
        <v>8</v>
      </c>
      <c r="E48" s="74" t="s">
        <v>450</v>
      </c>
      <c r="F48" s="74" t="s">
        <v>622</v>
      </c>
      <c r="G48" s="75">
        <f>SUMPRODUCT(COUNTIFS(PROGRAM_DIRECTORY!$A$2:$A$334, $N48:$AB48, PROGRAM_DIRECTORY!$D$2:$D$334, "Non-Stage", PROGRAM_DIRECTORY!$E$2:$E$334, "Individual"))</f>
        <v>0</v>
      </c>
      <c r="H48" s="75">
        <f>SUMPRODUCT(COUNTIFS(PROGRAM_DIRECTORY!$A$2:$A$334, $N48:$AB48, PROGRAM_DIRECTORY!$D$2:$D$334, "Stage", PROGRAM_DIRECTORY!$E$2:$E$334, "Individual"))</f>
        <v>0</v>
      </c>
      <c r="I48" s="75">
        <f>SUMPRODUCT(COUNTIFS(PROGRAM_DIRECTORY!$A$2:$A$334, $N48:$AB48, PROGRAM_DIRECTORY!$D$2:$D$334, "Sports"))</f>
        <v>0</v>
      </c>
      <c r="J48" s="75">
        <f>SUMPRODUCT(COUNTIFS(PROGRAM_DIRECTORY!$A$2:$A$334, $N48:$AB48, PROGRAM_DIRECTORY!$E$2:$E$334, "Individual"))</f>
        <v>0</v>
      </c>
      <c r="K48" s="75">
        <f>SUMPRODUCT(COUNTIFS(PROGRAM_DIRECTORY!$A$2:$A$334, $N48:$AB48, PROGRAM_DIRECTORY!$E$2:$E$334, "Group"))</f>
        <v>0</v>
      </c>
      <c r="L48" s="75">
        <f t="shared" si="1"/>
        <v>0</v>
      </c>
      <c r="M48" s="75" t="str">
        <f t="shared" si="2"/>
        <v>Min 1 Required (Stage &amp; Non-Stage)</v>
      </c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AC48" s="79" t="str">
        <f t="shared" si="3"/>
        <v/>
      </c>
    </row>
    <row r="49">
      <c r="A49" s="74">
        <v>63.0</v>
      </c>
      <c r="B49" s="74" t="s">
        <v>693</v>
      </c>
      <c r="C49" s="74">
        <v>9.0</v>
      </c>
      <c r="D49" s="74" t="s">
        <v>610</v>
      </c>
      <c r="E49" s="74" t="s">
        <v>610</v>
      </c>
      <c r="F49" s="74" t="s">
        <v>716</v>
      </c>
      <c r="G49" s="75">
        <f>SUMPRODUCT(COUNTIFS(PROGRAM_DIRECTORY!$A$2:$A$334, $N49:$AB49, PROGRAM_DIRECTORY!$D$2:$D$334, "Non-Stage", PROGRAM_DIRECTORY!$E$2:$E$334, "Individual"))</f>
        <v>0</v>
      </c>
      <c r="H49" s="75">
        <f>SUMPRODUCT(COUNTIFS(PROGRAM_DIRECTORY!$A$2:$A$334, $N49:$AB49, PROGRAM_DIRECTORY!$D$2:$D$334, "Stage", PROGRAM_DIRECTORY!$E$2:$E$334, "Individual"))</f>
        <v>0</v>
      </c>
      <c r="I49" s="75">
        <f>SUMPRODUCT(COUNTIFS(PROGRAM_DIRECTORY!$A$2:$A$334, $N49:$AB49, PROGRAM_DIRECTORY!$D$2:$D$334, "Sports"))</f>
        <v>0</v>
      </c>
      <c r="J49" s="75">
        <f>SUMPRODUCT(COUNTIFS(PROGRAM_DIRECTORY!$A$2:$A$334, $N49:$AB49, PROGRAM_DIRECTORY!$E$2:$E$334, "Individual"))</f>
        <v>0</v>
      </c>
      <c r="K49" s="75">
        <f>SUMPRODUCT(COUNTIFS(PROGRAM_DIRECTORY!$A$2:$A$334, $N49:$AB49, PROGRAM_DIRECTORY!$E$2:$E$334, "Group"))</f>
        <v>0</v>
      </c>
      <c r="L49" s="75">
        <f t="shared" si="1"/>
        <v>0</v>
      </c>
      <c r="M49" s="75" t="str">
        <f t="shared" si="2"/>
        <v>Inactive Student</v>
      </c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AC49" s="79" t="str">
        <f t="shared" si="3"/>
        <v/>
      </c>
    </row>
    <row r="50">
      <c r="A50" s="74">
        <v>399.0</v>
      </c>
      <c r="B50" s="74" t="s">
        <v>694</v>
      </c>
      <c r="C50" s="74">
        <v>9.0</v>
      </c>
      <c r="D50" s="74" t="s">
        <v>8</v>
      </c>
      <c r="E50" s="74" t="s">
        <v>380</v>
      </c>
      <c r="F50" s="74" t="s">
        <v>622</v>
      </c>
      <c r="G50" s="75">
        <f>SUMPRODUCT(COUNTIFS(PROGRAM_DIRECTORY!$A$2:$A$334, $N50:$AB50, PROGRAM_DIRECTORY!$D$2:$D$334, "Non-Stage", PROGRAM_DIRECTORY!$E$2:$E$334, "Individual"))</f>
        <v>0</v>
      </c>
      <c r="H50" s="75">
        <f>SUMPRODUCT(COUNTIFS(PROGRAM_DIRECTORY!$A$2:$A$334, $N50:$AB50, PROGRAM_DIRECTORY!$D$2:$D$334, "Stage", PROGRAM_DIRECTORY!$E$2:$E$334, "Individual"))</f>
        <v>0</v>
      </c>
      <c r="I50" s="75">
        <f>SUMPRODUCT(COUNTIFS(PROGRAM_DIRECTORY!$A$2:$A$334, $N50:$AB50, PROGRAM_DIRECTORY!$D$2:$D$334, "Sports"))</f>
        <v>0</v>
      </c>
      <c r="J50" s="75">
        <f>SUMPRODUCT(COUNTIFS(PROGRAM_DIRECTORY!$A$2:$A$334, $N50:$AB50, PROGRAM_DIRECTORY!$E$2:$E$334, "Individual"))</f>
        <v>0</v>
      </c>
      <c r="K50" s="75">
        <f>SUMPRODUCT(COUNTIFS(PROGRAM_DIRECTORY!$A$2:$A$334, $N50:$AB50, PROGRAM_DIRECTORY!$E$2:$E$334, "Group"))</f>
        <v>0</v>
      </c>
      <c r="L50" s="75">
        <f t="shared" si="1"/>
        <v>0</v>
      </c>
      <c r="M50" s="75" t="str">
        <f t="shared" si="2"/>
        <v>Min 1 Required (Stage &amp; Non-Stage)</v>
      </c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AC50" s="79" t="str">
        <f t="shared" si="3"/>
        <v/>
      </c>
    </row>
    <row r="51">
      <c r="A51" s="74">
        <v>87.0</v>
      </c>
      <c r="B51" s="74" t="s">
        <v>696</v>
      </c>
      <c r="C51" s="74">
        <v>9.0</v>
      </c>
      <c r="D51" s="74" t="s">
        <v>8</v>
      </c>
      <c r="E51" s="74" t="s">
        <v>331</v>
      </c>
      <c r="F51" s="74" t="s">
        <v>622</v>
      </c>
      <c r="G51" s="75">
        <f>SUMPRODUCT(COUNTIFS(PROGRAM_DIRECTORY!$A$2:$A$334, $N51:$AB51, PROGRAM_DIRECTORY!$D$2:$D$334, "Non-Stage", PROGRAM_DIRECTORY!$E$2:$E$334, "Individual"))</f>
        <v>0</v>
      </c>
      <c r="H51" s="75">
        <f>SUMPRODUCT(COUNTIFS(PROGRAM_DIRECTORY!$A$2:$A$334, $N51:$AB51, PROGRAM_DIRECTORY!$D$2:$D$334, "Stage", PROGRAM_DIRECTORY!$E$2:$E$334, "Individual"))</f>
        <v>0</v>
      </c>
      <c r="I51" s="75">
        <f>SUMPRODUCT(COUNTIFS(PROGRAM_DIRECTORY!$A$2:$A$334, $N51:$AB51, PROGRAM_DIRECTORY!$D$2:$D$334, "Sports"))</f>
        <v>0</v>
      </c>
      <c r="J51" s="75">
        <f>SUMPRODUCT(COUNTIFS(PROGRAM_DIRECTORY!$A$2:$A$334, $N51:$AB51, PROGRAM_DIRECTORY!$E$2:$E$334, "Individual"))</f>
        <v>0</v>
      </c>
      <c r="K51" s="75">
        <f>SUMPRODUCT(COUNTIFS(PROGRAM_DIRECTORY!$A$2:$A$334, $N51:$AB51, PROGRAM_DIRECTORY!$E$2:$E$334, "Group"))</f>
        <v>0</v>
      </c>
      <c r="L51" s="75">
        <f t="shared" si="1"/>
        <v>0</v>
      </c>
      <c r="M51" s="75" t="str">
        <f t="shared" si="2"/>
        <v>Min 1 Required (Stage &amp; Non-Stage)</v>
      </c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AC51" s="79" t="str">
        <f t="shared" si="3"/>
        <v/>
      </c>
    </row>
    <row r="52">
      <c r="A52" s="74">
        <v>94.0</v>
      </c>
      <c r="B52" s="74" t="s">
        <v>699</v>
      </c>
      <c r="C52" s="74">
        <v>9.0</v>
      </c>
      <c r="D52" s="74" t="s">
        <v>8</v>
      </c>
      <c r="E52" s="74" t="s">
        <v>450</v>
      </c>
      <c r="F52" s="74" t="s">
        <v>622</v>
      </c>
      <c r="G52" s="75">
        <f>SUMPRODUCT(COUNTIFS(PROGRAM_DIRECTORY!$A$2:$A$334, $N52:$AB52, PROGRAM_DIRECTORY!$D$2:$D$334, "Non-Stage", PROGRAM_DIRECTORY!$E$2:$E$334, "Individual"))</f>
        <v>0</v>
      </c>
      <c r="H52" s="75">
        <f>SUMPRODUCT(COUNTIFS(PROGRAM_DIRECTORY!$A$2:$A$334, $N52:$AB52, PROGRAM_DIRECTORY!$D$2:$D$334, "Stage", PROGRAM_DIRECTORY!$E$2:$E$334, "Individual"))</f>
        <v>0</v>
      </c>
      <c r="I52" s="75">
        <f>SUMPRODUCT(COUNTIFS(PROGRAM_DIRECTORY!$A$2:$A$334, $N52:$AB52, PROGRAM_DIRECTORY!$D$2:$D$334, "Sports"))</f>
        <v>0</v>
      </c>
      <c r="J52" s="75">
        <f>SUMPRODUCT(COUNTIFS(PROGRAM_DIRECTORY!$A$2:$A$334, $N52:$AB52, PROGRAM_DIRECTORY!$E$2:$E$334, "Individual"))</f>
        <v>0</v>
      </c>
      <c r="K52" s="75">
        <f>SUMPRODUCT(COUNTIFS(PROGRAM_DIRECTORY!$A$2:$A$334, $N52:$AB52, PROGRAM_DIRECTORY!$E$2:$E$334, "Group"))</f>
        <v>0</v>
      </c>
      <c r="L52" s="75">
        <f t="shared" si="1"/>
        <v>0</v>
      </c>
      <c r="M52" s="75" t="str">
        <f t="shared" si="2"/>
        <v>Min 1 Required (Stage &amp; Non-Stage)</v>
      </c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AC52" s="79" t="str">
        <f t="shared" si="3"/>
        <v/>
      </c>
    </row>
    <row r="53">
      <c r="A53" s="74">
        <v>95.0</v>
      </c>
      <c r="B53" s="74" t="s">
        <v>701</v>
      </c>
      <c r="C53" s="74">
        <v>9.0</v>
      </c>
      <c r="D53" s="74" t="s">
        <v>8</v>
      </c>
      <c r="E53" s="74" t="s">
        <v>331</v>
      </c>
      <c r="F53" s="74" t="s">
        <v>622</v>
      </c>
      <c r="G53" s="75">
        <f>SUMPRODUCT(COUNTIFS(PROGRAM_DIRECTORY!$A$2:$A$334, $N53:$AB53, PROGRAM_DIRECTORY!$D$2:$D$334, "Non-Stage", PROGRAM_DIRECTORY!$E$2:$E$334, "Individual"))</f>
        <v>0</v>
      </c>
      <c r="H53" s="75">
        <f>SUMPRODUCT(COUNTIFS(PROGRAM_DIRECTORY!$A$2:$A$334, $N53:$AB53, PROGRAM_DIRECTORY!$D$2:$D$334, "Stage", PROGRAM_DIRECTORY!$E$2:$E$334, "Individual"))</f>
        <v>0</v>
      </c>
      <c r="I53" s="75">
        <f>SUMPRODUCT(COUNTIFS(PROGRAM_DIRECTORY!$A$2:$A$334, $N53:$AB53, PROGRAM_DIRECTORY!$D$2:$D$334, "Sports"))</f>
        <v>0</v>
      </c>
      <c r="J53" s="75">
        <f>SUMPRODUCT(COUNTIFS(PROGRAM_DIRECTORY!$A$2:$A$334, $N53:$AB53, PROGRAM_DIRECTORY!$E$2:$E$334, "Individual"))</f>
        <v>0</v>
      </c>
      <c r="K53" s="75">
        <f>SUMPRODUCT(COUNTIFS(PROGRAM_DIRECTORY!$A$2:$A$334, $N53:$AB53, PROGRAM_DIRECTORY!$E$2:$E$334, "Group"))</f>
        <v>0</v>
      </c>
      <c r="L53" s="75">
        <f t="shared" si="1"/>
        <v>0</v>
      </c>
      <c r="M53" s="75" t="str">
        <f t="shared" si="2"/>
        <v>Min 1 Required (Stage &amp; Non-Stage)</v>
      </c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AC53" s="79" t="str">
        <f t="shared" si="3"/>
        <v/>
      </c>
    </row>
    <row r="54">
      <c r="A54" s="74">
        <v>398.0</v>
      </c>
      <c r="B54" s="74" t="s">
        <v>702</v>
      </c>
      <c r="C54" s="74">
        <v>9.0</v>
      </c>
      <c r="D54" s="74" t="s">
        <v>8</v>
      </c>
      <c r="E54" s="74" t="s">
        <v>380</v>
      </c>
      <c r="F54" s="74" t="s">
        <v>622</v>
      </c>
      <c r="G54" s="75">
        <f>SUMPRODUCT(COUNTIFS(PROGRAM_DIRECTORY!$A$2:$A$334, $N54:$AB54, PROGRAM_DIRECTORY!$D$2:$D$334, "Non-Stage", PROGRAM_DIRECTORY!$E$2:$E$334, "Individual"))</f>
        <v>0</v>
      </c>
      <c r="H54" s="75">
        <f>SUMPRODUCT(COUNTIFS(PROGRAM_DIRECTORY!$A$2:$A$334, $N54:$AB54, PROGRAM_DIRECTORY!$D$2:$D$334, "Stage", PROGRAM_DIRECTORY!$E$2:$E$334, "Individual"))</f>
        <v>0</v>
      </c>
      <c r="I54" s="75">
        <f>SUMPRODUCT(COUNTIFS(PROGRAM_DIRECTORY!$A$2:$A$334, $N54:$AB54, PROGRAM_DIRECTORY!$D$2:$D$334, "Sports"))</f>
        <v>0</v>
      </c>
      <c r="J54" s="75">
        <f>SUMPRODUCT(COUNTIFS(PROGRAM_DIRECTORY!$A$2:$A$334, $N54:$AB54, PROGRAM_DIRECTORY!$E$2:$E$334, "Individual"))</f>
        <v>0</v>
      </c>
      <c r="K54" s="75">
        <f>SUMPRODUCT(COUNTIFS(PROGRAM_DIRECTORY!$A$2:$A$334, $N54:$AB54, PROGRAM_DIRECTORY!$E$2:$E$334, "Group"))</f>
        <v>0</v>
      </c>
      <c r="L54" s="75">
        <f t="shared" si="1"/>
        <v>0</v>
      </c>
      <c r="M54" s="75" t="str">
        <f t="shared" si="2"/>
        <v>Min 1 Required (Stage &amp; Non-Stage)</v>
      </c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AC54" s="79" t="str">
        <f t="shared" si="3"/>
        <v/>
      </c>
    </row>
    <row r="55">
      <c r="A55" s="74">
        <v>400.0</v>
      </c>
      <c r="B55" s="74" t="s">
        <v>704</v>
      </c>
      <c r="C55" s="74">
        <v>9.0</v>
      </c>
      <c r="D55" s="74" t="s">
        <v>8</v>
      </c>
      <c r="E55" s="74" t="s">
        <v>450</v>
      </c>
      <c r="F55" s="74" t="s">
        <v>622</v>
      </c>
      <c r="G55" s="75">
        <f>SUMPRODUCT(COUNTIFS(PROGRAM_DIRECTORY!$A$2:$A$334, $N55:$AB55, PROGRAM_DIRECTORY!$D$2:$D$334, "Non-Stage", PROGRAM_DIRECTORY!$E$2:$E$334, "Individual"))</f>
        <v>0</v>
      </c>
      <c r="H55" s="75">
        <f>SUMPRODUCT(COUNTIFS(PROGRAM_DIRECTORY!$A$2:$A$334, $N55:$AB55, PROGRAM_DIRECTORY!$D$2:$D$334, "Stage", PROGRAM_DIRECTORY!$E$2:$E$334, "Individual"))</f>
        <v>0</v>
      </c>
      <c r="I55" s="75">
        <f>SUMPRODUCT(COUNTIFS(PROGRAM_DIRECTORY!$A$2:$A$334, $N55:$AB55, PROGRAM_DIRECTORY!$D$2:$D$334, "Sports"))</f>
        <v>0</v>
      </c>
      <c r="J55" s="75">
        <f>SUMPRODUCT(COUNTIFS(PROGRAM_DIRECTORY!$A$2:$A$334, $N55:$AB55, PROGRAM_DIRECTORY!$E$2:$E$334, "Individual"))</f>
        <v>0</v>
      </c>
      <c r="K55" s="75">
        <f>SUMPRODUCT(COUNTIFS(PROGRAM_DIRECTORY!$A$2:$A$334, $N55:$AB55, PROGRAM_DIRECTORY!$E$2:$E$334, "Group"))</f>
        <v>0</v>
      </c>
      <c r="L55" s="75">
        <f t="shared" si="1"/>
        <v>0</v>
      </c>
      <c r="M55" s="75" t="str">
        <f t="shared" si="2"/>
        <v>Min 1 Required (Stage &amp; Non-Stage)</v>
      </c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AC55" s="79" t="str">
        <f t="shared" si="3"/>
        <v/>
      </c>
    </row>
    <row r="56">
      <c r="A56" s="74">
        <v>404.0</v>
      </c>
      <c r="B56" s="74" t="s">
        <v>706</v>
      </c>
      <c r="C56" s="74">
        <v>9.0</v>
      </c>
      <c r="D56" s="74" t="s">
        <v>8</v>
      </c>
      <c r="E56" s="74" t="s">
        <v>380</v>
      </c>
      <c r="F56" s="74" t="s">
        <v>622</v>
      </c>
      <c r="G56" s="75">
        <f>SUMPRODUCT(COUNTIFS(PROGRAM_DIRECTORY!$A$2:$A$334, $N56:$AB56, PROGRAM_DIRECTORY!$D$2:$D$334, "Non-Stage", PROGRAM_DIRECTORY!$E$2:$E$334, "Individual"))</f>
        <v>0</v>
      </c>
      <c r="H56" s="75">
        <f>SUMPRODUCT(COUNTIFS(PROGRAM_DIRECTORY!$A$2:$A$334, $N56:$AB56, PROGRAM_DIRECTORY!$D$2:$D$334, "Stage", PROGRAM_DIRECTORY!$E$2:$E$334, "Individual"))</f>
        <v>0</v>
      </c>
      <c r="I56" s="75">
        <f>SUMPRODUCT(COUNTIFS(PROGRAM_DIRECTORY!$A$2:$A$334, $N56:$AB56, PROGRAM_DIRECTORY!$D$2:$D$334, "Sports"))</f>
        <v>0</v>
      </c>
      <c r="J56" s="75">
        <f>SUMPRODUCT(COUNTIFS(PROGRAM_DIRECTORY!$A$2:$A$334, $N56:$AB56, PROGRAM_DIRECTORY!$E$2:$E$334, "Individual"))</f>
        <v>0</v>
      </c>
      <c r="K56" s="75">
        <f>SUMPRODUCT(COUNTIFS(PROGRAM_DIRECTORY!$A$2:$A$334, $N56:$AB56, PROGRAM_DIRECTORY!$E$2:$E$334, "Group"))</f>
        <v>0</v>
      </c>
      <c r="L56" s="75">
        <f t="shared" si="1"/>
        <v>0</v>
      </c>
      <c r="M56" s="75" t="str">
        <f t="shared" si="2"/>
        <v>Min 1 Required (Stage &amp; Non-Stage)</v>
      </c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AC56" s="79" t="str">
        <f t="shared" si="3"/>
        <v/>
      </c>
    </row>
    <row r="57">
      <c r="A57" s="74">
        <v>138.0</v>
      </c>
      <c r="B57" s="74" t="s">
        <v>707</v>
      </c>
      <c r="C57" s="74">
        <v>8.0</v>
      </c>
      <c r="D57" s="74" t="s">
        <v>8</v>
      </c>
      <c r="E57" s="74" t="s">
        <v>450</v>
      </c>
      <c r="F57" s="74" t="s">
        <v>622</v>
      </c>
      <c r="G57" s="75">
        <f>SUMPRODUCT(COUNTIFS(PROGRAM_DIRECTORY!$A$2:$A$334, $N57:$AB57, PROGRAM_DIRECTORY!$D$2:$D$334, "Non-Stage", PROGRAM_DIRECTORY!$E$2:$E$334, "Individual"))</f>
        <v>0</v>
      </c>
      <c r="H57" s="75">
        <f>SUMPRODUCT(COUNTIFS(PROGRAM_DIRECTORY!$A$2:$A$334, $N57:$AB57, PROGRAM_DIRECTORY!$D$2:$D$334, "Stage", PROGRAM_DIRECTORY!$E$2:$E$334, "Individual"))</f>
        <v>0</v>
      </c>
      <c r="I57" s="75">
        <f>SUMPRODUCT(COUNTIFS(PROGRAM_DIRECTORY!$A$2:$A$334, $N57:$AB57, PROGRAM_DIRECTORY!$D$2:$D$334, "Sports"))</f>
        <v>0</v>
      </c>
      <c r="J57" s="75">
        <f>SUMPRODUCT(COUNTIFS(PROGRAM_DIRECTORY!$A$2:$A$334, $N57:$AB57, PROGRAM_DIRECTORY!$E$2:$E$334, "Individual"))</f>
        <v>0</v>
      </c>
      <c r="K57" s="75">
        <f>SUMPRODUCT(COUNTIFS(PROGRAM_DIRECTORY!$A$2:$A$334, $N57:$AB57, PROGRAM_DIRECTORY!$E$2:$E$334, "Group"))</f>
        <v>0</v>
      </c>
      <c r="L57" s="75">
        <f t="shared" si="1"/>
        <v>0</v>
      </c>
      <c r="M57" s="75" t="str">
        <f t="shared" si="2"/>
        <v>Min 1 Required (Stage &amp; Non-Stage)</v>
      </c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AC57" s="79" t="str">
        <f t="shared" si="3"/>
        <v/>
      </c>
    </row>
    <row r="58">
      <c r="A58" s="74">
        <v>148.0</v>
      </c>
      <c r="B58" s="74" t="s">
        <v>710</v>
      </c>
      <c r="C58" s="74">
        <v>8.0</v>
      </c>
      <c r="D58" s="74" t="s">
        <v>8</v>
      </c>
      <c r="E58" s="74" t="s">
        <v>331</v>
      </c>
      <c r="F58" s="74" t="s">
        <v>622</v>
      </c>
      <c r="G58" s="75">
        <f>SUMPRODUCT(COUNTIFS(PROGRAM_DIRECTORY!$A$2:$A$334, $N58:$AB58, PROGRAM_DIRECTORY!$D$2:$D$334, "Non-Stage", PROGRAM_DIRECTORY!$E$2:$E$334, "Individual"))</f>
        <v>0</v>
      </c>
      <c r="H58" s="75">
        <f>SUMPRODUCT(COUNTIFS(PROGRAM_DIRECTORY!$A$2:$A$334, $N58:$AB58, PROGRAM_DIRECTORY!$D$2:$D$334, "Stage", PROGRAM_DIRECTORY!$E$2:$E$334, "Individual"))</f>
        <v>0</v>
      </c>
      <c r="I58" s="75">
        <f>SUMPRODUCT(COUNTIFS(PROGRAM_DIRECTORY!$A$2:$A$334, $N58:$AB58, PROGRAM_DIRECTORY!$D$2:$D$334, "Sports"))</f>
        <v>0</v>
      </c>
      <c r="J58" s="75">
        <f>SUMPRODUCT(COUNTIFS(PROGRAM_DIRECTORY!$A$2:$A$334, $N58:$AB58, PROGRAM_DIRECTORY!$E$2:$E$334, "Individual"))</f>
        <v>0</v>
      </c>
      <c r="K58" s="75">
        <f>SUMPRODUCT(COUNTIFS(PROGRAM_DIRECTORY!$A$2:$A$334, $N58:$AB58, PROGRAM_DIRECTORY!$E$2:$E$334, "Group"))</f>
        <v>0</v>
      </c>
      <c r="L58" s="75">
        <f t="shared" si="1"/>
        <v>0</v>
      </c>
      <c r="M58" s="75" t="str">
        <f t="shared" si="2"/>
        <v>Min 1 Required (Stage &amp; Non-Stage)</v>
      </c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AC58" s="79" t="str">
        <f t="shared" si="3"/>
        <v/>
      </c>
    </row>
    <row r="59">
      <c r="A59" s="74">
        <v>128.0</v>
      </c>
      <c r="B59" s="74" t="s">
        <v>711</v>
      </c>
      <c r="C59" s="74">
        <v>8.0</v>
      </c>
      <c r="D59" s="74" t="s">
        <v>8</v>
      </c>
      <c r="E59" s="74" t="s">
        <v>195</v>
      </c>
      <c r="F59" s="74" t="s">
        <v>622</v>
      </c>
      <c r="G59" s="75">
        <f>SUMPRODUCT(COUNTIFS(PROGRAM_DIRECTORY!$A$2:$A$334, $N59:$AB59, PROGRAM_DIRECTORY!$D$2:$D$334, "Non-Stage", PROGRAM_DIRECTORY!$E$2:$E$334, "Individual"))</f>
        <v>0</v>
      </c>
      <c r="H59" s="75">
        <f>SUMPRODUCT(COUNTIFS(PROGRAM_DIRECTORY!$A$2:$A$334, $N59:$AB59, PROGRAM_DIRECTORY!$D$2:$D$334, "Stage", PROGRAM_DIRECTORY!$E$2:$E$334, "Individual"))</f>
        <v>0</v>
      </c>
      <c r="I59" s="75">
        <f>SUMPRODUCT(COUNTIFS(PROGRAM_DIRECTORY!$A$2:$A$334, $N59:$AB59, PROGRAM_DIRECTORY!$D$2:$D$334, "Sports"))</f>
        <v>0</v>
      </c>
      <c r="J59" s="75">
        <f>SUMPRODUCT(COUNTIFS(PROGRAM_DIRECTORY!$A$2:$A$334, $N59:$AB59, PROGRAM_DIRECTORY!$E$2:$E$334, "Individual"))</f>
        <v>0</v>
      </c>
      <c r="K59" s="75">
        <f>SUMPRODUCT(COUNTIFS(PROGRAM_DIRECTORY!$A$2:$A$334, $N59:$AB59, PROGRAM_DIRECTORY!$E$2:$E$334, "Group"))</f>
        <v>0</v>
      </c>
      <c r="L59" s="75">
        <f t="shared" si="1"/>
        <v>0</v>
      </c>
      <c r="M59" s="75" t="str">
        <f t="shared" si="2"/>
        <v>Min 1 Required (Stage &amp; Non-Stage)</v>
      </c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AC59" s="79" t="str">
        <f t="shared" si="3"/>
        <v/>
      </c>
    </row>
    <row r="60">
      <c r="A60" s="74">
        <v>143.0</v>
      </c>
      <c r="B60" s="74" t="s">
        <v>712</v>
      </c>
      <c r="C60" s="74">
        <v>8.0</v>
      </c>
      <c r="D60" s="74" t="s">
        <v>8</v>
      </c>
      <c r="E60" s="74" t="s">
        <v>380</v>
      </c>
      <c r="F60" s="74" t="s">
        <v>622</v>
      </c>
      <c r="G60" s="75">
        <f>SUMPRODUCT(COUNTIFS(PROGRAM_DIRECTORY!$A$2:$A$334, $N60:$AB60, PROGRAM_DIRECTORY!$D$2:$D$334, "Non-Stage", PROGRAM_DIRECTORY!$E$2:$E$334, "Individual"))</f>
        <v>0</v>
      </c>
      <c r="H60" s="75">
        <f>SUMPRODUCT(COUNTIFS(PROGRAM_DIRECTORY!$A$2:$A$334, $N60:$AB60, PROGRAM_DIRECTORY!$D$2:$D$334, "Stage", PROGRAM_DIRECTORY!$E$2:$E$334, "Individual"))</f>
        <v>0</v>
      </c>
      <c r="I60" s="75">
        <f>SUMPRODUCT(COUNTIFS(PROGRAM_DIRECTORY!$A$2:$A$334, $N60:$AB60, PROGRAM_DIRECTORY!$D$2:$D$334, "Sports"))</f>
        <v>0</v>
      </c>
      <c r="J60" s="75">
        <f>SUMPRODUCT(COUNTIFS(PROGRAM_DIRECTORY!$A$2:$A$334, $N60:$AB60, PROGRAM_DIRECTORY!$E$2:$E$334, "Individual"))</f>
        <v>0</v>
      </c>
      <c r="K60" s="75">
        <f>SUMPRODUCT(COUNTIFS(PROGRAM_DIRECTORY!$A$2:$A$334, $N60:$AB60, PROGRAM_DIRECTORY!$E$2:$E$334, "Group"))</f>
        <v>0</v>
      </c>
      <c r="L60" s="75">
        <f t="shared" si="1"/>
        <v>0</v>
      </c>
      <c r="M60" s="75" t="str">
        <f t="shared" si="2"/>
        <v>Min 1 Required (Stage &amp; Non-Stage)</v>
      </c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AC60" s="79" t="str">
        <f t="shared" si="3"/>
        <v/>
      </c>
    </row>
    <row r="61">
      <c r="A61" s="74">
        <v>150.0</v>
      </c>
      <c r="B61" s="74" t="s">
        <v>714</v>
      </c>
      <c r="C61" s="74">
        <v>8.0</v>
      </c>
      <c r="D61" s="74" t="s">
        <v>8</v>
      </c>
      <c r="E61" s="74" t="s">
        <v>195</v>
      </c>
      <c r="F61" s="74" t="s">
        <v>622</v>
      </c>
      <c r="G61" s="75">
        <f>SUMPRODUCT(COUNTIFS(PROGRAM_DIRECTORY!$A$2:$A$334, $N61:$AB61, PROGRAM_DIRECTORY!$D$2:$D$334, "Non-Stage", PROGRAM_DIRECTORY!$E$2:$E$334, "Individual"))</f>
        <v>0</v>
      </c>
      <c r="H61" s="75">
        <f>SUMPRODUCT(COUNTIFS(PROGRAM_DIRECTORY!$A$2:$A$334, $N61:$AB61, PROGRAM_DIRECTORY!$D$2:$D$334, "Stage", PROGRAM_DIRECTORY!$E$2:$E$334, "Individual"))</f>
        <v>0</v>
      </c>
      <c r="I61" s="75">
        <f>SUMPRODUCT(COUNTIFS(PROGRAM_DIRECTORY!$A$2:$A$334, $N61:$AB61, PROGRAM_DIRECTORY!$D$2:$D$334, "Sports"))</f>
        <v>0</v>
      </c>
      <c r="J61" s="75">
        <f>SUMPRODUCT(COUNTIFS(PROGRAM_DIRECTORY!$A$2:$A$334, $N61:$AB61, PROGRAM_DIRECTORY!$E$2:$E$334, "Individual"))</f>
        <v>0</v>
      </c>
      <c r="K61" s="75">
        <f>SUMPRODUCT(COUNTIFS(PROGRAM_DIRECTORY!$A$2:$A$334, $N61:$AB61, PROGRAM_DIRECTORY!$E$2:$E$334, "Group"))</f>
        <v>0</v>
      </c>
      <c r="L61" s="75">
        <f t="shared" si="1"/>
        <v>0</v>
      </c>
      <c r="M61" s="75" t="str">
        <f t="shared" si="2"/>
        <v>Min 1 Required (Stage &amp; Non-Stage)</v>
      </c>
      <c r="N61" s="74"/>
      <c r="O61" s="75"/>
      <c r="P61" s="75"/>
      <c r="Q61" s="75"/>
      <c r="R61" s="75"/>
      <c r="S61" s="75"/>
      <c r="T61" s="75"/>
      <c r="U61" s="75"/>
      <c r="V61" s="75"/>
      <c r="W61" s="75"/>
      <c r="X61" s="75"/>
      <c r="AC61" s="79" t="str">
        <f t="shared" si="3"/>
        <v/>
      </c>
    </row>
    <row r="62">
      <c r="A62" s="74">
        <v>126.0</v>
      </c>
      <c r="B62" s="74" t="s">
        <v>715</v>
      </c>
      <c r="C62" s="74">
        <v>8.0</v>
      </c>
      <c r="D62" s="74" t="s">
        <v>8</v>
      </c>
      <c r="E62" s="74" t="s">
        <v>380</v>
      </c>
      <c r="F62" s="74" t="s">
        <v>622</v>
      </c>
      <c r="G62" s="75">
        <f>SUMPRODUCT(COUNTIFS(PROGRAM_DIRECTORY!$A$2:$A$334, $N62:$AB62, PROGRAM_DIRECTORY!$D$2:$D$334, "Non-Stage", PROGRAM_DIRECTORY!$E$2:$E$334, "Individual"))</f>
        <v>0</v>
      </c>
      <c r="H62" s="75">
        <f>SUMPRODUCT(COUNTIFS(PROGRAM_DIRECTORY!$A$2:$A$334, $N62:$AB62, PROGRAM_DIRECTORY!$D$2:$D$334, "Stage", PROGRAM_DIRECTORY!$E$2:$E$334, "Individual"))</f>
        <v>0</v>
      </c>
      <c r="I62" s="75">
        <f>SUMPRODUCT(COUNTIFS(PROGRAM_DIRECTORY!$A$2:$A$334, $N62:$AB62, PROGRAM_DIRECTORY!$D$2:$D$334, "Sports"))</f>
        <v>0</v>
      </c>
      <c r="J62" s="75">
        <f>SUMPRODUCT(COUNTIFS(PROGRAM_DIRECTORY!$A$2:$A$334, $N62:$AB62, PROGRAM_DIRECTORY!$E$2:$E$334, "Individual"))</f>
        <v>0</v>
      </c>
      <c r="K62" s="75">
        <f>SUMPRODUCT(COUNTIFS(PROGRAM_DIRECTORY!$A$2:$A$334, $N62:$AB62, PROGRAM_DIRECTORY!$E$2:$E$334, "Group"))</f>
        <v>0</v>
      </c>
      <c r="L62" s="75">
        <f t="shared" si="1"/>
        <v>0</v>
      </c>
      <c r="M62" s="75" t="str">
        <f t="shared" si="2"/>
        <v>Min 1 Required (Stage &amp; Non-Stage)</v>
      </c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AC62" s="79" t="str">
        <f t="shared" si="3"/>
        <v/>
      </c>
    </row>
    <row r="63">
      <c r="A63" s="74">
        <v>133.0</v>
      </c>
      <c r="B63" s="74" t="s">
        <v>717</v>
      </c>
      <c r="C63" s="74">
        <v>8.0</v>
      </c>
      <c r="D63" s="74" t="s">
        <v>8</v>
      </c>
      <c r="E63" s="74" t="s">
        <v>380</v>
      </c>
      <c r="F63" s="74" t="s">
        <v>622</v>
      </c>
      <c r="G63" s="75">
        <f>SUMPRODUCT(COUNTIFS(PROGRAM_DIRECTORY!$A$2:$A$334, $N63:$AB63, PROGRAM_DIRECTORY!$D$2:$D$334, "Non-Stage", PROGRAM_DIRECTORY!$E$2:$E$334, "Individual"))</f>
        <v>0</v>
      </c>
      <c r="H63" s="75">
        <f>SUMPRODUCT(COUNTIFS(PROGRAM_DIRECTORY!$A$2:$A$334, $N63:$AB63, PROGRAM_DIRECTORY!$D$2:$D$334, "Stage", PROGRAM_DIRECTORY!$E$2:$E$334, "Individual"))</f>
        <v>0</v>
      </c>
      <c r="I63" s="75">
        <f>SUMPRODUCT(COUNTIFS(PROGRAM_DIRECTORY!$A$2:$A$334, $N63:$AB63, PROGRAM_DIRECTORY!$D$2:$D$334, "Sports"))</f>
        <v>0</v>
      </c>
      <c r="J63" s="75">
        <f>SUMPRODUCT(COUNTIFS(PROGRAM_DIRECTORY!$A$2:$A$334, $N63:$AB63, PROGRAM_DIRECTORY!$E$2:$E$334, "Individual"))</f>
        <v>0</v>
      </c>
      <c r="K63" s="75">
        <f>SUMPRODUCT(COUNTIFS(PROGRAM_DIRECTORY!$A$2:$A$334, $N63:$AB63, PROGRAM_DIRECTORY!$E$2:$E$334, "Group"))</f>
        <v>0</v>
      </c>
      <c r="L63" s="75">
        <f t="shared" si="1"/>
        <v>0</v>
      </c>
      <c r="M63" s="75" t="str">
        <f t="shared" si="2"/>
        <v>Min 1 Required (Stage &amp; Non-Stage)</v>
      </c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AC63" s="79" t="str">
        <f t="shared" si="3"/>
        <v/>
      </c>
    </row>
    <row r="64">
      <c r="A64" s="74">
        <v>157.0</v>
      </c>
      <c r="B64" s="74" t="s">
        <v>718</v>
      </c>
      <c r="C64" s="74">
        <v>8.0</v>
      </c>
      <c r="D64" s="74" t="s">
        <v>8</v>
      </c>
      <c r="E64" s="74" t="s">
        <v>195</v>
      </c>
      <c r="F64" s="74" t="s">
        <v>622</v>
      </c>
      <c r="G64" s="75">
        <f>SUMPRODUCT(COUNTIFS(PROGRAM_DIRECTORY!$A$2:$A$334, $N64:$AB64, PROGRAM_DIRECTORY!$D$2:$D$334, "Non-Stage", PROGRAM_DIRECTORY!$E$2:$E$334, "Individual"))</f>
        <v>0</v>
      </c>
      <c r="H64" s="75">
        <f>SUMPRODUCT(COUNTIFS(PROGRAM_DIRECTORY!$A$2:$A$334, $N64:$AB64, PROGRAM_DIRECTORY!$D$2:$D$334, "Stage", PROGRAM_DIRECTORY!$E$2:$E$334, "Individual"))</f>
        <v>0</v>
      </c>
      <c r="I64" s="75">
        <f>SUMPRODUCT(COUNTIFS(PROGRAM_DIRECTORY!$A$2:$A$334, $N64:$AB64, PROGRAM_DIRECTORY!$D$2:$D$334, "Sports"))</f>
        <v>0</v>
      </c>
      <c r="J64" s="75">
        <f>SUMPRODUCT(COUNTIFS(PROGRAM_DIRECTORY!$A$2:$A$334, $N64:$AB64, PROGRAM_DIRECTORY!$E$2:$E$334, "Individual"))</f>
        <v>0</v>
      </c>
      <c r="K64" s="75">
        <f>SUMPRODUCT(COUNTIFS(PROGRAM_DIRECTORY!$A$2:$A$334, $N64:$AB64, PROGRAM_DIRECTORY!$E$2:$E$334, "Group"))</f>
        <v>0</v>
      </c>
      <c r="L64" s="75">
        <f t="shared" si="1"/>
        <v>0</v>
      </c>
      <c r="M64" s="75" t="str">
        <f t="shared" si="2"/>
        <v>Min 1 Required (Stage &amp; Non-Stage)</v>
      </c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AC64" s="79" t="str">
        <f t="shared" si="3"/>
        <v/>
      </c>
    </row>
    <row r="65">
      <c r="A65" s="74">
        <v>145.0</v>
      </c>
      <c r="B65" s="74" t="s">
        <v>719</v>
      </c>
      <c r="C65" s="74">
        <v>8.0</v>
      </c>
      <c r="D65" s="74" t="s">
        <v>8</v>
      </c>
      <c r="E65" s="74" t="s">
        <v>331</v>
      </c>
      <c r="F65" s="74" t="s">
        <v>622</v>
      </c>
      <c r="G65" s="75">
        <f>SUMPRODUCT(COUNTIFS(PROGRAM_DIRECTORY!$A$2:$A$334, $N65:$AB65, PROGRAM_DIRECTORY!$D$2:$D$334, "Non-Stage", PROGRAM_DIRECTORY!$E$2:$E$334, "Individual"))</f>
        <v>0</v>
      </c>
      <c r="H65" s="75">
        <f>SUMPRODUCT(COUNTIFS(PROGRAM_DIRECTORY!$A$2:$A$334, $N65:$AB65, PROGRAM_DIRECTORY!$D$2:$D$334, "Stage", PROGRAM_DIRECTORY!$E$2:$E$334, "Individual"))</f>
        <v>0</v>
      </c>
      <c r="I65" s="75">
        <f>SUMPRODUCT(COUNTIFS(PROGRAM_DIRECTORY!$A$2:$A$334, $N65:$AB65, PROGRAM_DIRECTORY!$D$2:$D$334, "Sports"))</f>
        <v>0</v>
      </c>
      <c r="J65" s="75">
        <f>SUMPRODUCT(COUNTIFS(PROGRAM_DIRECTORY!$A$2:$A$334, $N65:$AB65, PROGRAM_DIRECTORY!$E$2:$E$334, "Individual"))</f>
        <v>0</v>
      </c>
      <c r="K65" s="75">
        <f>SUMPRODUCT(COUNTIFS(PROGRAM_DIRECTORY!$A$2:$A$334, $N65:$AB65, PROGRAM_DIRECTORY!$E$2:$E$334, "Group"))</f>
        <v>0</v>
      </c>
      <c r="L65" s="75">
        <f t="shared" si="1"/>
        <v>0</v>
      </c>
      <c r="M65" s="75" t="str">
        <f t="shared" si="2"/>
        <v>Min 1 Required (Stage &amp; Non-Stage)</v>
      </c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AC65" s="79" t="str">
        <f t="shared" si="3"/>
        <v/>
      </c>
    </row>
    <row r="66">
      <c r="A66" s="74">
        <v>153.0</v>
      </c>
      <c r="B66" s="74" t="s">
        <v>720</v>
      </c>
      <c r="C66" s="74">
        <v>8.0</v>
      </c>
      <c r="D66" s="74" t="s">
        <v>8</v>
      </c>
      <c r="E66" s="74" t="s">
        <v>380</v>
      </c>
      <c r="F66" s="74" t="s">
        <v>622</v>
      </c>
      <c r="G66" s="75">
        <f>SUMPRODUCT(COUNTIFS(PROGRAM_DIRECTORY!$A$2:$A$334, $N66:$AB66, PROGRAM_DIRECTORY!$D$2:$D$334, "Non-Stage", PROGRAM_DIRECTORY!$E$2:$E$334, "Individual"))</f>
        <v>0</v>
      </c>
      <c r="H66" s="75">
        <f>SUMPRODUCT(COUNTIFS(PROGRAM_DIRECTORY!$A$2:$A$334, $N66:$AB66, PROGRAM_DIRECTORY!$D$2:$D$334, "Stage", PROGRAM_DIRECTORY!$E$2:$E$334, "Individual"))</f>
        <v>0</v>
      </c>
      <c r="I66" s="75">
        <f>SUMPRODUCT(COUNTIFS(PROGRAM_DIRECTORY!$A$2:$A$334, $N66:$AB66, PROGRAM_DIRECTORY!$D$2:$D$334, "Sports"))</f>
        <v>0</v>
      </c>
      <c r="J66" s="75">
        <f>SUMPRODUCT(COUNTIFS(PROGRAM_DIRECTORY!$A$2:$A$334, $N66:$AB66, PROGRAM_DIRECTORY!$E$2:$E$334, "Individual"))</f>
        <v>0</v>
      </c>
      <c r="K66" s="75">
        <f>SUMPRODUCT(COUNTIFS(PROGRAM_DIRECTORY!$A$2:$A$334, $N66:$AB66, PROGRAM_DIRECTORY!$E$2:$E$334, "Group"))</f>
        <v>0</v>
      </c>
      <c r="L66" s="75">
        <f t="shared" si="1"/>
        <v>0</v>
      </c>
      <c r="M66" s="75" t="str">
        <f t="shared" si="2"/>
        <v>Min 1 Required (Stage &amp; Non-Stage)</v>
      </c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AC66" s="79" t="str">
        <f t="shared" si="3"/>
        <v/>
      </c>
    </row>
    <row r="67">
      <c r="A67" s="74">
        <v>130.0</v>
      </c>
      <c r="B67" s="74" t="s">
        <v>721</v>
      </c>
      <c r="C67" s="74">
        <v>8.0</v>
      </c>
      <c r="D67" s="74" t="s">
        <v>8</v>
      </c>
      <c r="E67" s="74" t="s">
        <v>450</v>
      </c>
      <c r="F67" s="74" t="s">
        <v>622</v>
      </c>
      <c r="G67" s="75">
        <f>SUMPRODUCT(COUNTIFS(PROGRAM_DIRECTORY!$A$2:$A$334, $N67:$AB67, PROGRAM_DIRECTORY!$D$2:$D$334, "Non-Stage", PROGRAM_DIRECTORY!$E$2:$E$334, "Individual"))</f>
        <v>0</v>
      </c>
      <c r="H67" s="75">
        <f>SUMPRODUCT(COUNTIFS(PROGRAM_DIRECTORY!$A$2:$A$334, $N67:$AB67, PROGRAM_DIRECTORY!$D$2:$D$334, "Stage", PROGRAM_DIRECTORY!$E$2:$E$334, "Individual"))</f>
        <v>0</v>
      </c>
      <c r="I67" s="75">
        <f>SUMPRODUCT(COUNTIFS(PROGRAM_DIRECTORY!$A$2:$A$334, $N67:$AB67, PROGRAM_DIRECTORY!$D$2:$D$334, "Sports"))</f>
        <v>0</v>
      </c>
      <c r="J67" s="75">
        <f>SUMPRODUCT(COUNTIFS(PROGRAM_DIRECTORY!$A$2:$A$334, $N67:$AB67, PROGRAM_DIRECTORY!$E$2:$E$334, "Individual"))</f>
        <v>0</v>
      </c>
      <c r="K67" s="75">
        <f>SUMPRODUCT(COUNTIFS(PROGRAM_DIRECTORY!$A$2:$A$334, $N67:$AB67, PROGRAM_DIRECTORY!$E$2:$E$334, "Group"))</f>
        <v>0</v>
      </c>
      <c r="L67" s="75">
        <f t="shared" si="1"/>
        <v>0</v>
      </c>
      <c r="M67" s="75" t="str">
        <f t="shared" si="2"/>
        <v>Min 1 Required (Stage &amp; Non-Stage)</v>
      </c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AC67" s="79" t="str">
        <f t="shared" si="3"/>
        <v/>
      </c>
    </row>
    <row r="68">
      <c r="A68" s="74">
        <v>136.0</v>
      </c>
      <c r="B68" s="74" t="s">
        <v>722</v>
      </c>
      <c r="C68" s="74">
        <v>8.0</v>
      </c>
      <c r="D68" s="74" t="s">
        <v>8</v>
      </c>
      <c r="E68" s="74" t="s">
        <v>450</v>
      </c>
      <c r="F68" s="74" t="s">
        <v>622</v>
      </c>
      <c r="G68" s="75">
        <f>SUMPRODUCT(COUNTIFS(PROGRAM_DIRECTORY!$A$2:$A$334, $N68:$AB68, PROGRAM_DIRECTORY!$D$2:$D$334, "Non-Stage", PROGRAM_DIRECTORY!$E$2:$E$334, "Individual"))</f>
        <v>0</v>
      </c>
      <c r="H68" s="75">
        <f>SUMPRODUCT(COUNTIFS(PROGRAM_DIRECTORY!$A$2:$A$334, $N68:$AB68, PROGRAM_DIRECTORY!$D$2:$D$334, "Stage", PROGRAM_DIRECTORY!$E$2:$E$334, "Individual"))</f>
        <v>0</v>
      </c>
      <c r="I68" s="75">
        <f>SUMPRODUCT(COUNTIFS(PROGRAM_DIRECTORY!$A$2:$A$334, $N68:$AB68, PROGRAM_DIRECTORY!$D$2:$D$334, "Sports"))</f>
        <v>0</v>
      </c>
      <c r="J68" s="75">
        <f>SUMPRODUCT(COUNTIFS(PROGRAM_DIRECTORY!$A$2:$A$334, $N68:$AB68, PROGRAM_DIRECTORY!$E$2:$E$334, "Individual"))</f>
        <v>0</v>
      </c>
      <c r="K68" s="75">
        <f>SUMPRODUCT(COUNTIFS(PROGRAM_DIRECTORY!$A$2:$A$334, $N68:$AB68, PROGRAM_DIRECTORY!$E$2:$E$334, "Group"))</f>
        <v>0</v>
      </c>
      <c r="L68" s="75">
        <f t="shared" si="1"/>
        <v>0</v>
      </c>
      <c r="M68" s="75" t="str">
        <f t="shared" si="2"/>
        <v>Min 1 Required (Stage &amp; Non-Stage)</v>
      </c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AC68" s="79" t="str">
        <f t="shared" si="3"/>
        <v/>
      </c>
    </row>
    <row r="69">
      <c r="A69" s="74">
        <v>131.0</v>
      </c>
      <c r="B69" s="74" t="s">
        <v>723</v>
      </c>
      <c r="C69" s="74">
        <v>8.0</v>
      </c>
      <c r="D69" s="74" t="s">
        <v>8</v>
      </c>
      <c r="E69" s="74" t="s">
        <v>450</v>
      </c>
      <c r="F69" s="74" t="s">
        <v>622</v>
      </c>
      <c r="G69" s="75">
        <f>SUMPRODUCT(COUNTIFS(PROGRAM_DIRECTORY!$A$2:$A$334, $N69:$AB69, PROGRAM_DIRECTORY!$D$2:$D$334, "Non-Stage", PROGRAM_DIRECTORY!$E$2:$E$334, "Individual"))</f>
        <v>0</v>
      </c>
      <c r="H69" s="75">
        <f>SUMPRODUCT(COUNTIFS(PROGRAM_DIRECTORY!$A$2:$A$334, $N69:$AB69, PROGRAM_DIRECTORY!$D$2:$D$334, "Stage", PROGRAM_DIRECTORY!$E$2:$E$334, "Individual"))</f>
        <v>0</v>
      </c>
      <c r="I69" s="75">
        <f>SUMPRODUCT(COUNTIFS(PROGRAM_DIRECTORY!$A$2:$A$334, $N69:$AB69, PROGRAM_DIRECTORY!$D$2:$D$334, "Sports"))</f>
        <v>0</v>
      </c>
      <c r="J69" s="75">
        <f>SUMPRODUCT(COUNTIFS(PROGRAM_DIRECTORY!$A$2:$A$334, $N69:$AB69, PROGRAM_DIRECTORY!$E$2:$E$334, "Individual"))</f>
        <v>0</v>
      </c>
      <c r="K69" s="75">
        <f>SUMPRODUCT(COUNTIFS(PROGRAM_DIRECTORY!$A$2:$A$334, $N69:$AB69, PROGRAM_DIRECTORY!$E$2:$E$334, "Group"))</f>
        <v>0</v>
      </c>
      <c r="L69" s="75">
        <f t="shared" si="1"/>
        <v>0</v>
      </c>
      <c r="M69" s="75" t="str">
        <f t="shared" si="2"/>
        <v>Min 1 Required (Stage &amp; Non-Stage)</v>
      </c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AC69" s="79" t="str">
        <f t="shared" si="3"/>
        <v/>
      </c>
    </row>
    <row r="70">
      <c r="A70" s="74">
        <v>152.0</v>
      </c>
      <c r="B70" s="74" t="s">
        <v>724</v>
      </c>
      <c r="C70" s="74">
        <v>8.0</v>
      </c>
      <c r="D70" s="74" t="s">
        <v>8</v>
      </c>
      <c r="E70" s="74" t="s">
        <v>331</v>
      </c>
      <c r="F70" s="74" t="s">
        <v>622</v>
      </c>
      <c r="G70" s="75">
        <f>SUMPRODUCT(COUNTIFS(PROGRAM_DIRECTORY!$A$2:$A$334, $N70:$AB70, PROGRAM_DIRECTORY!$D$2:$D$334, "Non-Stage", PROGRAM_DIRECTORY!$E$2:$E$334, "Individual"))</f>
        <v>0</v>
      </c>
      <c r="H70" s="75">
        <f>SUMPRODUCT(COUNTIFS(PROGRAM_DIRECTORY!$A$2:$A$334, $N70:$AB70, PROGRAM_DIRECTORY!$D$2:$D$334, "Stage", PROGRAM_DIRECTORY!$E$2:$E$334, "Individual"))</f>
        <v>0</v>
      </c>
      <c r="I70" s="75">
        <f>SUMPRODUCT(COUNTIFS(PROGRAM_DIRECTORY!$A$2:$A$334, $N70:$AB70, PROGRAM_DIRECTORY!$D$2:$D$334, "Sports"))</f>
        <v>0</v>
      </c>
      <c r="J70" s="75">
        <f>SUMPRODUCT(COUNTIFS(PROGRAM_DIRECTORY!$A$2:$A$334, $N70:$AB70, PROGRAM_DIRECTORY!$E$2:$E$334, "Individual"))</f>
        <v>0</v>
      </c>
      <c r="K70" s="75">
        <f>SUMPRODUCT(COUNTIFS(PROGRAM_DIRECTORY!$A$2:$A$334, $N70:$AB70, PROGRAM_DIRECTORY!$E$2:$E$334, "Group"))</f>
        <v>0</v>
      </c>
      <c r="L70" s="75">
        <f t="shared" si="1"/>
        <v>0</v>
      </c>
      <c r="M70" s="75" t="str">
        <f t="shared" si="2"/>
        <v>Min 1 Required (Stage &amp; Non-Stage)</v>
      </c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AC70" s="79" t="str">
        <f t="shared" si="3"/>
        <v/>
      </c>
    </row>
    <row r="71">
      <c r="A71" s="74">
        <v>135.0</v>
      </c>
      <c r="B71" s="74" t="s">
        <v>725</v>
      </c>
      <c r="C71" s="74">
        <v>8.0</v>
      </c>
      <c r="D71" s="74" t="s">
        <v>8</v>
      </c>
      <c r="E71" s="74" t="s">
        <v>195</v>
      </c>
      <c r="F71" s="74" t="s">
        <v>622</v>
      </c>
      <c r="G71" s="75">
        <f>SUMPRODUCT(COUNTIFS(PROGRAM_DIRECTORY!$A$2:$A$334, $N71:$AB71, PROGRAM_DIRECTORY!$D$2:$D$334, "Non-Stage", PROGRAM_DIRECTORY!$E$2:$E$334, "Individual"))</f>
        <v>0</v>
      </c>
      <c r="H71" s="75">
        <f>SUMPRODUCT(COUNTIFS(PROGRAM_DIRECTORY!$A$2:$A$334, $N71:$AB71, PROGRAM_DIRECTORY!$D$2:$D$334, "Stage", PROGRAM_DIRECTORY!$E$2:$E$334, "Individual"))</f>
        <v>0</v>
      </c>
      <c r="I71" s="75">
        <f>SUMPRODUCT(COUNTIFS(PROGRAM_DIRECTORY!$A$2:$A$334, $N71:$AB71, PROGRAM_DIRECTORY!$D$2:$D$334, "Sports"))</f>
        <v>0</v>
      </c>
      <c r="J71" s="75">
        <f>SUMPRODUCT(COUNTIFS(PROGRAM_DIRECTORY!$A$2:$A$334, $N71:$AB71, PROGRAM_DIRECTORY!$E$2:$E$334, "Individual"))</f>
        <v>0</v>
      </c>
      <c r="K71" s="75">
        <f>SUMPRODUCT(COUNTIFS(PROGRAM_DIRECTORY!$A$2:$A$334, $N71:$AB71, PROGRAM_DIRECTORY!$E$2:$E$334, "Group"))</f>
        <v>0</v>
      </c>
      <c r="L71" s="75">
        <f t="shared" si="1"/>
        <v>0</v>
      </c>
      <c r="M71" s="75" t="str">
        <f t="shared" si="2"/>
        <v>Min 1 Required (Stage &amp; Non-Stage)</v>
      </c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AC71" s="79" t="str">
        <f t="shared" si="3"/>
        <v/>
      </c>
    </row>
    <row r="72">
      <c r="A72" s="74">
        <v>125.0</v>
      </c>
      <c r="B72" s="74" t="s">
        <v>726</v>
      </c>
      <c r="C72" s="74">
        <v>8.0</v>
      </c>
      <c r="D72" s="74" t="s">
        <v>8</v>
      </c>
      <c r="E72" s="74" t="s">
        <v>380</v>
      </c>
      <c r="F72" s="74" t="s">
        <v>622</v>
      </c>
      <c r="G72" s="75">
        <f>SUMPRODUCT(COUNTIFS(PROGRAM_DIRECTORY!$A$2:$A$334, $N72:$AB72, PROGRAM_DIRECTORY!$D$2:$D$334, "Non-Stage", PROGRAM_DIRECTORY!$E$2:$E$334, "Individual"))</f>
        <v>0</v>
      </c>
      <c r="H72" s="75">
        <f>SUMPRODUCT(COUNTIFS(PROGRAM_DIRECTORY!$A$2:$A$334, $N72:$AB72, PROGRAM_DIRECTORY!$D$2:$D$334, "Stage", PROGRAM_DIRECTORY!$E$2:$E$334, "Individual"))</f>
        <v>0</v>
      </c>
      <c r="I72" s="75">
        <f>SUMPRODUCT(COUNTIFS(PROGRAM_DIRECTORY!$A$2:$A$334, $N72:$AB72, PROGRAM_DIRECTORY!$D$2:$D$334, "Sports"))</f>
        <v>0</v>
      </c>
      <c r="J72" s="75">
        <f>SUMPRODUCT(COUNTIFS(PROGRAM_DIRECTORY!$A$2:$A$334, $N72:$AB72, PROGRAM_DIRECTORY!$E$2:$E$334, "Individual"))</f>
        <v>0</v>
      </c>
      <c r="K72" s="75">
        <f>SUMPRODUCT(COUNTIFS(PROGRAM_DIRECTORY!$A$2:$A$334, $N72:$AB72, PROGRAM_DIRECTORY!$E$2:$E$334, "Group"))</f>
        <v>0</v>
      </c>
      <c r="L72" s="75">
        <f t="shared" si="1"/>
        <v>0</v>
      </c>
      <c r="M72" s="75" t="str">
        <f t="shared" si="2"/>
        <v>Min 1 Required (Stage &amp; Non-Stage)</v>
      </c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AC72" s="79" t="str">
        <f t="shared" si="3"/>
        <v/>
      </c>
    </row>
    <row r="73">
      <c r="A73" s="74">
        <v>132.0</v>
      </c>
      <c r="B73" s="74" t="s">
        <v>727</v>
      </c>
      <c r="C73" s="74">
        <v>8.0</v>
      </c>
      <c r="D73" s="74" t="s">
        <v>8</v>
      </c>
      <c r="E73" s="74" t="s">
        <v>380</v>
      </c>
      <c r="F73" s="74" t="s">
        <v>622</v>
      </c>
      <c r="G73" s="75">
        <f>SUMPRODUCT(COUNTIFS(PROGRAM_DIRECTORY!$A$2:$A$334, $N73:$AB73, PROGRAM_DIRECTORY!$D$2:$D$334, "Non-Stage", PROGRAM_DIRECTORY!$E$2:$E$334, "Individual"))</f>
        <v>0</v>
      </c>
      <c r="H73" s="75">
        <f>SUMPRODUCT(COUNTIFS(PROGRAM_DIRECTORY!$A$2:$A$334, $N73:$AB73, PROGRAM_DIRECTORY!$D$2:$D$334, "Stage", PROGRAM_DIRECTORY!$E$2:$E$334, "Individual"))</f>
        <v>0</v>
      </c>
      <c r="I73" s="75">
        <f>SUMPRODUCT(COUNTIFS(PROGRAM_DIRECTORY!$A$2:$A$334, $N73:$AB73, PROGRAM_DIRECTORY!$D$2:$D$334, "Sports"))</f>
        <v>0</v>
      </c>
      <c r="J73" s="75">
        <f>SUMPRODUCT(COUNTIFS(PROGRAM_DIRECTORY!$A$2:$A$334, $N73:$AB73, PROGRAM_DIRECTORY!$E$2:$E$334, "Individual"))</f>
        <v>0</v>
      </c>
      <c r="K73" s="75">
        <f>SUMPRODUCT(COUNTIFS(PROGRAM_DIRECTORY!$A$2:$A$334, $N73:$AB73, PROGRAM_DIRECTORY!$E$2:$E$334, "Group"))</f>
        <v>0</v>
      </c>
      <c r="L73" s="75">
        <f t="shared" si="1"/>
        <v>0</v>
      </c>
      <c r="M73" s="75" t="str">
        <f t="shared" si="2"/>
        <v>Min 1 Required (Stage &amp; Non-Stage)</v>
      </c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AC73" s="79" t="str">
        <f t="shared" si="3"/>
        <v/>
      </c>
    </row>
    <row r="74">
      <c r="A74" s="74">
        <v>142.0</v>
      </c>
      <c r="B74" s="74" t="s">
        <v>728</v>
      </c>
      <c r="C74" s="74">
        <v>8.0</v>
      </c>
      <c r="D74" s="74" t="s">
        <v>8</v>
      </c>
      <c r="E74" s="74" t="s">
        <v>450</v>
      </c>
      <c r="F74" s="74" t="s">
        <v>622</v>
      </c>
      <c r="G74" s="75">
        <f>SUMPRODUCT(COUNTIFS(PROGRAM_DIRECTORY!$A$2:$A$334, $N74:$AB74, PROGRAM_DIRECTORY!$D$2:$D$334, "Non-Stage", PROGRAM_DIRECTORY!$E$2:$E$334, "Individual"))</f>
        <v>0</v>
      </c>
      <c r="H74" s="75">
        <f>SUMPRODUCT(COUNTIFS(PROGRAM_DIRECTORY!$A$2:$A$334, $N74:$AB74, PROGRAM_DIRECTORY!$D$2:$D$334, "Stage", PROGRAM_DIRECTORY!$E$2:$E$334, "Individual"))</f>
        <v>0</v>
      </c>
      <c r="I74" s="75">
        <f>SUMPRODUCT(COUNTIFS(PROGRAM_DIRECTORY!$A$2:$A$334, $N74:$AB74, PROGRAM_DIRECTORY!$D$2:$D$334, "Sports"))</f>
        <v>0</v>
      </c>
      <c r="J74" s="75">
        <f>SUMPRODUCT(COUNTIFS(PROGRAM_DIRECTORY!$A$2:$A$334, $N74:$AB74, PROGRAM_DIRECTORY!$E$2:$E$334, "Individual"))</f>
        <v>0</v>
      </c>
      <c r="K74" s="75">
        <f>SUMPRODUCT(COUNTIFS(PROGRAM_DIRECTORY!$A$2:$A$334, $N74:$AB74, PROGRAM_DIRECTORY!$E$2:$E$334, "Group"))</f>
        <v>0</v>
      </c>
      <c r="L74" s="75">
        <f t="shared" si="1"/>
        <v>0</v>
      </c>
      <c r="M74" s="75" t="str">
        <f t="shared" si="2"/>
        <v>Min 1 Required (Stage &amp; Non-Stage)</v>
      </c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AC74" s="79" t="str">
        <f t="shared" si="3"/>
        <v/>
      </c>
    </row>
    <row r="75">
      <c r="A75" s="74">
        <v>151.0</v>
      </c>
      <c r="B75" s="74" t="s">
        <v>729</v>
      </c>
      <c r="C75" s="74">
        <v>8.0</v>
      </c>
      <c r="D75" s="74" t="s">
        <v>8</v>
      </c>
      <c r="E75" s="74" t="s">
        <v>195</v>
      </c>
      <c r="F75" s="74" t="s">
        <v>622</v>
      </c>
      <c r="G75" s="75">
        <f>SUMPRODUCT(COUNTIFS(PROGRAM_DIRECTORY!$A$2:$A$334, $N75:$AB75, PROGRAM_DIRECTORY!$D$2:$D$334, "Non-Stage", PROGRAM_DIRECTORY!$E$2:$E$334, "Individual"))</f>
        <v>0</v>
      </c>
      <c r="H75" s="75">
        <f>SUMPRODUCT(COUNTIFS(PROGRAM_DIRECTORY!$A$2:$A$334, $N75:$AB75, PROGRAM_DIRECTORY!$D$2:$D$334, "Stage", PROGRAM_DIRECTORY!$E$2:$E$334, "Individual"))</f>
        <v>0</v>
      </c>
      <c r="I75" s="75">
        <f>SUMPRODUCT(COUNTIFS(PROGRAM_DIRECTORY!$A$2:$A$334, $N75:$AB75, PROGRAM_DIRECTORY!$D$2:$D$334, "Sports"))</f>
        <v>0</v>
      </c>
      <c r="J75" s="75">
        <f>SUMPRODUCT(COUNTIFS(PROGRAM_DIRECTORY!$A$2:$A$334, $N75:$AB75, PROGRAM_DIRECTORY!$E$2:$E$334, "Individual"))</f>
        <v>0</v>
      </c>
      <c r="K75" s="75">
        <f>SUMPRODUCT(COUNTIFS(PROGRAM_DIRECTORY!$A$2:$A$334, $N75:$AB75, PROGRAM_DIRECTORY!$E$2:$E$334, "Group"))</f>
        <v>0</v>
      </c>
      <c r="L75" s="75">
        <f t="shared" si="1"/>
        <v>0</v>
      </c>
      <c r="M75" s="75" t="str">
        <f t="shared" si="2"/>
        <v>Min 1 Required (Stage &amp; Non-Stage)</v>
      </c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AC75" s="79" t="str">
        <f t="shared" si="3"/>
        <v/>
      </c>
    </row>
    <row r="76">
      <c r="A76" s="74">
        <v>149.0</v>
      </c>
      <c r="B76" s="74" t="s">
        <v>730</v>
      </c>
      <c r="C76" s="74">
        <v>8.0</v>
      </c>
      <c r="D76" s="74" t="s">
        <v>8</v>
      </c>
      <c r="E76" s="74" t="s">
        <v>331</v>
      </c>
      <c r="F76" s="74" t="s">
        <v>622</v>
      </c>
      <c r="G76" s="75">
        <f>SUMPRODUCT(COUNTIFS(PROGRAM_DIRECTORY!$A$2:$A$334, $N76:$AB76, PROGRAM_DIRECTORY!$D$2:$D$334, "Non-Stage", PROGRAM_DIRECTORY!$E$2:$E$334, "Individual"))</f>
        <v>0</v>
      </c>
      <c r="H76" s="75">
        <f>SUMPRODUCT(COUNTIFS(PROGRAM_DIRECTORY!$A$2:$A$334, $N76:$AB76, PROGRAM_DIRECTORY!$D$2:$D$334, "Stage", PROGRAM_DIRECTORY!$E$2:$E$334, "Individual"))</f>
        <v>0</v>
      </c>
      <c r="I76" s="75">
        <f>SUMPRODUCT(COUNTIFS(PROGRAM_DIRECTORY!$A$2:$A$334, $N76:$AB76, PROGRAM_DIRECTORY!$D$2:$D$334, "Sports"))</f>
        <v>0</v>
      </c>
      <c r="J76" s="75">
        <f>SUMPRODUCT(COUNTIFS(PROGRAM_DIRECTORY!$A$2:$A$334, $N76:$AB76, PROGRAM_DIRECTORY!$E$2:$E$334, "Individual"))</f>
        <v>0</v>
      </c>
      <c r="K76" s="75">
        <f>SUMPRODUCT(COUNTIFS(PROGRAM_DIRECTORY!$A$2:$A$334, $N76:$AB76, PROGRAM_DIRECTORY!$E$2:$E$334, "Group"))</f>
        <v>0</v>
      </c>
      <c r="L76" s="75">
        <f t="shared" si="1"/>
        <v>0</v>
      </c>
      <c r="M76" s="75" t="str">
        <f t="shared" si="2"/>
        <v>Min 1 Required (Stage &amp; Non-Stage)</v>
      </c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AC76" s="79" t="str">
        <f t="shared" si="3"/>
        <v/>
      </c>
    </row>
    <row r="77">
      <c r="A77" s="74">
        <v>163.0</v>
      </c>
      <c r="B77" s="74" t="s">
        <v>731</v>
      </c>
      <c r="C77" s="74">
        <v>8.0</v>
      </c>
      <c r="D77" s="74" t="s">
        <v>8</v>
      </c>
      <c r="E77" s="74" t="s">
        <v>331</v>
      </c>
      <c r="F77" s="74" t="s">
        <v>622</v>
      </c>
      <c r="G77" s="75">
        <f>SUMPRODUCT(COUNTIFS(PROGRAM_DIRECTORY!$A$2:$A$334, $N77:$AB77, PROGRAM_DIRECTORY!$D$2:$D$334, "Non-Stage", PROGRAM_DIRECTORY!$E$2:$E$334, "Individual"))</f>
        <v>0</v>
      </c>
      <c r="H77" s="75">
        <f>SUMPRODUCT(COUNTIFS(PROGRAM_DIRECTORY!$A$2:$A$334, $N77:$AB77, PROGRAM_DIRECTORY!$D$2:$D$334, "Stage", PROGRAM_DIRECTORY!$E$2:$E$334, "Individual"))</f>
        <v>0</v>
      </c>
      <c r="I77" s="75">
        <f>SUMPRODUCT(COUNTIFS(PROGRAM_DIRECTORY!$A$2:$A$334, $N77:$AB77, PROGRAM_DIRECTORY!$D$2:$D$334, "Sports"))</f>
        <v>0</v>
      </c>
      <c r="J77" s="75">
        <f>SUMPRODUCT(COUNTIFS(PROGRAM_DIRECTORY!$A$2:$A$334, $N77:$AB77, PROGRAM_DIRECTORY!$E$2:$E$334, "Individual"))</f>
        <v>0</v>
      </c>
      <c r="K77" s="75">
        <f>SUMPRODUCT(COUNTIFS(PROGRAM_DIRECTORY!$A$2:$A$334, $N77:$AB77, PROGRAM_DIRECTORY!$E$2:$E$334, "Group"))</f>
        <v>0</v>
      </c>
      <c r="L77" s="75">
        <f t="shared" si="1"/>
        <v>0</v>
      </c>
      <c r="M77" s="75" t="str">
        <f t="shared" si="2"/>
        <v>Min 1 Required (Stage &amp; Non-Stage)</v>
      </c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AC77" s="79" t="str">
        <f t="shared" si="3"/>
        <v/>
      </c>
    </row>
    <row r="78">
      <c r="A78" s="74">
        <v>114.0</v>
      </c>
      <c r="B78" s="74" t="s">
        <v>732</v>
      </c>
      <c r="C78" s="74">
        <v>8.0</v>
      </c>
      <c r="D78" s="74" t="s">
        <v>8</v>
      </c>
      <c r="E78" s="74" t="s">
        <v>331</v>
      </c>
      <c r="F78" s="74" t="s">
        <v>622</v>
      </c>
      <c r="G78" s="75">
        <f>SUMPRODUCT(COUNTIFS(PROGRAM_DIRECTORY!$A$2:$A$334, $N78:$AB78, PROGRAM_DIRECTORY!$D$2:$D$334, "Non-Stage", PROGRAM_DIRECTORY!$E$2:$E$334, "Individual"))</f>
        <v>0</v>
      </c>
      <c r="H78" s="75">
        <f>SUMPRODUCT(COUNTIFS(PROGRAM_DIRECTORY!$A$2:$A$334, $N78:$AB78, PROGRAM_DIRECTORY!$D$2:$D$334, "Stage", PROGRAM_DIRECTORY!$E$2:$E$334, "Individual"))</f>
        <v>0</v>
      </c>
      <c r="I78" s="75">
        <f>SUMPRODUCT(COUNTIFS(PROGRAM_DIRECTORY!$A$2:$A$334, $N78:$AB78, PROGRAM_DIRECTORY!$D$2:$D$334, "Sports"))</f>
        <v>0</v>
      </c>
      <c r="J78" s="75">
        <f>SUMPRODUCT(COUNTIFS(PROGRAM_DIRECTORY!$A$2:$A$334, $N78:$AB78, PROGRAM_DIRECTORY!$E$2:$E$334, "Individual"))</f>
        <v>0</v>
      </c>
      <c r="K78" s="75">
        <f>SUMPRODUCT(COUNTIFS(PROGRAM_DIRECTORY!$A$2:$A$334, $N78:$AB78, PROGRAM_DIRECTORY!$E$2:$E$334, "Group"))</f>
        <v>0</v>
      </c>
      <c r="L78" s="75">
        <f t="shared" si="1"/>
        <v>0</v>
      </c>
      <c r="M78" s="75" t="str">
        <f t="shared" si="2"/>
        <v>Min 1 Required (Stage &amp; Non-Stage)</v>
      </c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AC78" s="79" t="str">
        <f t="shared" si="3"/>
        <v/>
      </c>
    </row>
    <row r="79">
      <c r="A79" s="74">
        <v>452.0</v>
      </c>
      <c r="B79" s="74" t="s">
        <v>733</v>
      </c>
      <c r="C79" s="74">
        <v>8.0</v>
      </c>
      <c r="D79" s="74" t="s">
        <v>8</v>
      </c>
      <c r="E79" s="74" t="s">
        <v>331</v>
      </c>
      <c r="F79" s="74" t="s">
        <v>622</v>
      </c>
      <c r="G79" s="75">
        <f>SUMPRODUCT(COUNTIFS(PROGRAM_DIRECTORY!$A$2:$A$334, $N79:$AB79, PROGRAM_DIRECTORY!$D$2:$D$334, "Non-Stage", PROGRAM_DIRECTORY!$E$2:$E$334, "Individual"))</f>
        <v>0</v>
      </c>
      <c r="H79" s="75">
        <f>SUMPRODUCT(COUNTIFS(PROGRAM_DIRECTORY!$A$2:$A$334, $N79:$AB79, PROGRAM_DIRECTORY!$D$2:$D$334, "Stage", PROGRAM_DIRECTORY!$E$2:$E$334, "Individual"))</f>
        <v>0</v>
      </c>
      <c r="I79" s="75">
        <f>SUMPRODUCT(COUNTIFS(PROGRAM_DIRECTORY!$A$2:$A$334, $N79:$AB79, PROGRAM_DIRECTORY!$D$2:$D$334, "Sports"))</f>
        <v>0</v>
      </c>
      <c r="J79" s="75">
        <f>SUMPRODUCT(COUNTIFS(PROGRAM_DIRECTORY!$A$2:$A$334, $N79:$AB79, PROGRAM_DIRECTORY!$E$2:$E$334, "Individual"))</f>
        <v>0</v>
      </c>
      <c r="K79" s="75">
        <f>SUMPRODUCT(COUNTIFS(PROGRAM_DIRECTORY!$A$2:$A$334, $N79:$AB79, PROGRAM_DIRECTORY!$E$2:$E$334, "Group"))</f>
        <v>0</v>
      </c>
      <c r="L79" s="75">
        <f t="shared" si="1"/>
        <v>0</v>
      </c>
      <c r="M79" s="75" t="str">
        <f t="shared" si="2"/>
        <v>Min 1 Required (Stage &amp; Non-Stage)</v>
      </c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AC79" s="79" t="str">
        <f t="shared" si="3"/>
        <v/>
      </c>
    </row>
    <row r="80">
      <c r="A80" s="74">
        <v>453.0</v>
      </c>
      <c r="B80" s="74" t="s">
        <v>734</v>
      </c>
      <c r="C80" s="74">
        <v>8.0</v>
      </c>
      <c r="D80" s="74" t="s">
        <v>8</v>
      </c>
      <c r="E80" s="74" t="s">
        <v>380</v>
      </c>
      <c r="F80" s="74" t="s">
        <v>622</v>
      </c>
      <c r="G80" s="75">
        <f>SUMPRODUCT(COUNTIFS(PROGRAM_DIRECTORY!$A$2:$A$334, $N80:$AB80, PROGRAM_DIRECTORY!$D$2:$D$334, "Non-Stage", PROGRAM_DIRECTORY!$E$2:$E$334, "Individual"))</f>
        <v>0</v>
      </c>
      <c r="H80" s="75">
        <f>SUMPRODUCT(COUNTIFS(PROGRAM_DIRECTORY!$A$2:$A$334, $N80:$AB80, PROGRAM_DIRECTORY!$D$2:$D$334, "Stage", PROGRAM_DIRECTORY!$E$2:$E$334, "Individual"))</f>
        <v>0</v>
      </c>
      <c r="I80" s="75">
        <f>SUMPRODUCT(COUNTIFS(PROGRAM_DIRECTORY!$A$2:$A$334, $N80:$AB80, PROGRAM_DIRECTORY!$D$2:$D$334, "Sports"))</f>
        <v>0</v>
      </c>
      <c r="J80" s="75">
        <f>SUMPRODUCT(COUNTIFS(PROGRAM_DIRECTORY!$A$2:$A$334, $N80:$AB80, PROGRAM_DIRECTORY!$E$2:$E$334, "Individual"))</f>
        <v>0</v>
      </c>
      <c r="K80" s="75">
        <f>SUMPRODUCT(COUNTIFS(PROGRAM_DIRECTORY!$A$2:$A$334, $N80:$AB80, PROGRAM_DIRECTORY!$E$2:$E$334, "Group"))</f>
        <v>0</v>
      </c>
      <c r="L80" s="75">
        <f t="shared" si="1"/>
        <v>0</v>
      </c>
      <c r="M80" s="75" t="str">
        <f t="shared" si="2"/>
        <v>Min 1 Required (Stage &amp; Non-Stage)</v>
      </c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AC80" s="79" t="str">
        <f t="shared" si="3"/>
        <v/>
      </c>
    </row>
    <row r="81">
      <c r="A81" s="74">
        <v>454.0</v>
      </c>
      <c r="B81" s="74" t="s">
        <v>735</v>
      </c>
      <c r="C81" s="74">
        <v>8.0</v>
      </c>
      <c r="D81" s="74" t="s">
        <v>610</v>
      </c>
      <c r="E81" s="74" t="s">
        <v>610</v>
      </c>
      <c r="F81" s="74" t="s">
        <v>716</v>
      </c>
      <c r="G81" s="75">
        <f>SUMPRODUCT(COUNTIFS(PROGRAM_DIRECTORY!$A$2:$A$334, $N81:$AB81, PROGRAM_DIRECTORY!$D$2:$D$334, "Non-Stage", PROGRAM_DIRECTORY!$E$2:$E$334, "Individual"))</f>
        <v>0</v>
      </c>
      <c r="H81" s="75">
        <f>SUMPRODUCT(COUNTIFS(PROGRAM_DIRECTORY!$A$2:$A$334, $N81:$AB81, PROGRAM_DIRECTORY!$D$2:$D$334, "Stage", PROGRAM_DIRECTORY!$E$2:$E$334, "Individual"))</f>
        <v>0</v>
      </c>
      <c r="I81" s="75">
        <f>SUMPRODUCT(COUNTIFS(PROGRAM_DIRECTORY!$A$2:$A$334, $N81:$AB81, PROGRAM_DIRECTORY!$D$2:$D$334, "Sports"))</f>
        <v>0</v>
      </c>
      <c r="J81" s="75">
        <f>SUMPRODUCT(COUNTIFS(PROGRAM_DIRECTORY!$A$2:$A$334, $N81:$AB81, PROGRAM_DIRECTORY!$E$2:$E$334, "Individual"))</f>
        <v>0</v>
      </c>
      <c r="K81" s="75">
        <f>SUMPRODUCT(COUNTIFS(PROGRAM_DIRECTORY!$A$2:$A$334, $N81:$AB81, PROGRAM_DIRECTORY!$E$2:$E$334, "Group"))</f>
        <v>0</v>
      </c>
      <c r="L81" s="75">
        <f t="shared" si="1"/>
        <v>0</v>
      </c>
      <c r="M81" s="75" t="str">
        <f t="shared" si="2"/>
        <v>Inactive Student</v>
      </c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AC81" s="79" t="str">
        <f t="shared" si="3"/>
        <v/>
      </c>
    </row>
    <row r="82">
      <c r="A82" s="74">
        <v>455.0</v>
      </c>
      <c r="B82" s="74" t="s">
        <v>736</v>
      </c>
      <c r="C82" s="74">
        <v>8.0</v>
      </c>
      <c r="D82" s="74" t="s">
        <v>8</v>
      </c>
      <c r="E82" s="74" t="s">
        <v>195</v>
      </c>
      <c r="F82" s="74" t="s">
        <v>622</v>
      </c>
      <c r="G82" s="75">
        <f>SUMPRODUCT(COUNTIFS(PROGRAM_DIRECTORY!$A$2:$A$334, $N82:$AB82, PROGRAM_DIRECTORY!$D$2:$D$334, "Non-Stage", PROGRAM_DIRECTORY!$E$2:$E$334, "Individual"))</f>
        <v>0</v>
      </c>
      <c r="H82" s="75">
        <f>SUMPRODUCT(COUNTIFS(PROGRAM_DIRECTORY!$A$2:$A$334, $N82:$AB82, PROGRAM_DIRECTORY!$D$2:$D$334, "Stage", PROGRAM_DIRECTORY!$E$2:$E$334, "Individual"))</f>
        <v>0</v>
      </c>
      <c r="I82" s="75">
        <f>SUMPRODUCT(COUNTIFS(PROGRAM_DIRECTORY!$A$2:$A$334, $N82:$AB82, PROGRAM_DIRECTORY!$D$2:$D$334, "Sports"))</f>
        <v>0</v>
      </c>
      <c r="J82" s="75">
        <f>SUMPRODUCT(COUNTIFS(PROGRAM_DIRECTORY!$A$2:$A$334, $N82:$AB82, PROGRAM_DIRECTORY!$E$2:$E$334, "Individual"))</f>
        <v>0</v>
      </c>
      <c r="K82" s="75">
        <f>SUMPRODUCT(COUNTIFS(PROGRAM_DIRECTORY!$A$2:$A$334, $N82:$AB82, PROGRAM_DIRECTORY!$E$2:$E$334, "Group"))</f>
        <v>0</v>
      </c>
      <c r="L82" s="75">
        <f t="shared" si="1"/>
        <v>0</v>
      </c>
      <c r="M82" s="75" t="str">
        <f t="shared" si="2"/>
        <v>Min 1 Required (Stage &amp; Non-Stage)</v>
      </c>
      <c r="N82" s="74"/>
      <c r="O82" s="75"/>
      <c r="P82" s="75"/>
      <c r="Q82" s="75"/>
      <c r="R82" s="75"/>
      <c r="S82" s="75"/>
      <c r="T82" s="75"/>
      <c r="U82" s="75"/>
      <c r="V82" s="75"/>
      <c r="W82" s="75"/>
      <c r="X82" s="75"/>
      <c r="AC82" s="79" t="str">
        <f t="shared" si="3"/>
        <v/>
      </c>
    </row>
    <row r="83">
      <c r="A83" s="74">
        <v>456.0</v>
      </c>
      <c r="B83" s="74" t="s">
        <v>737</v>
      </c>
      <c r="C83" s="74">
        <v>8.0</v>
      </c>
      <c r="D83" s="74" t="s">
        <v>8</v>
      </c>
      <c r="E83" s="74" t="s">
        <v>195</v>
      </c>
      <c r="F83" s="74" t="s">
        <v>622</v>
      </c>
      <c r="G83" s="75">
        <f>SUMPRODUCT(COUNTIFS(PROGRAM_DIRECTORY!$A$2:$A$334, $N83:$AB83, PROGRAM_DIRECTORY!$D$2:$D$334, "Non-Stage", PROGRAM_DIRECTORY!$E$2:$E$334, "Individual"))</f>
        <v>0</v>
      </c>
      <c r="H83" s="75">
        <f>SUMPRODUCT(COUNTIFS(PROGRAM_DIRECTORY!$A$2:$A$334, $N83:$AB83, PROGRAM_DIRECTORY!$D$2:$D$334, "Stage", PROGRAM_DIRECTORY!$E$2:$E$334, "Individual"))</f>
        <v>0</v>
      </c>
      <c r="I83" s="75">
        <f>SUMPRODUCT(COUNTIFS(PROGRAM_DIRECTORY!$A$2:$A$334, $N83:$AB83, PROGRAM_DIRECTORY!$D$2:$D$334, "Sports"))</f>
        <v>0</v>
      </c>
      <c r="J83" s="75">
        <f>SUMPRODUCT(COUNTIFS(PROGRAM_DIRECTORY!$A$2:$A$334, $N83:$AB83, PROGRAM_DIRECTORY!$E$2:$E$334, "Individual"))</f>
        <v>0</v>
      </c>
      <c r="K83" s="75">
        <f>SUMPRODUCT(COUNTIFS(PROGRAM_DIRECTORY!$A$2:$A$334, $N83:$AB83, PROGRAM_DIRECTORY!$E$2:$E$334, "Group"))</f>
        <v>0</v>
      </c>
      <c r="L83" s="75">
        <f t="shared" si="1"/>
        <v>0</v>
      </c>
      <c r="M83" s="75" t="str">
        <f t="shared" si="2"/>
        <v>Min 1 Required (Stage &amp; Non-Stage)</v>
      </c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AC83" s="79" t="str">
        <f t="shared" si="3"/>
        <v/>
      </c>
    </row>
    <row r="84">
      <c r="A84" s="74">
        <v>457.0</v>
      </c>
      <c r="B84" s="74" t="s">
        <v>738</v>
      </c>
      <c r="C84" s="74">
        <v>8.0</v>
      </c>
      <c r="D84" s="74" t="s">
        <v>8</v>
      </c>
      <c r="E84" s="74" t="s">
        <v>450</v>
      </c>
      <c r="F84" s="74" t="s">
        <v>622</v>
      </c>
      <c r="G84" s="75">
        <f>SUMPRODUCT(COUNTIFS(PROGRAM_DIRECTORY!$A$2:$A$334, $N84:$AB84, PROGRAM_DIRECTORY!$D$2:$D$334, "Non-Stage", PROGRAM_DIRECTORY!$E$2:$E$334, "Individual"))</f>
        <v>0</v>
      </c>
      <c r="H84" s="75">
        <f>SUMPRODUCT(COUNTIFS(PROGRAM_DIRECTORY!$A$2:$A$334, $N84:$AB84, PROGRAM_DIRECTORY!$D$2:$D$334, "Stage", PROGRAM_DIRECTORY!$E$2:$E$334, "Individual"))</f>
        <v>0</v>
      </c>
      <c r="I84" s="75">
        <f>SUMPRODUCT(COUNTIFS(PROGRAM_DIRECTORY!$A$2:$A$334, $N84:$AB84, PROGRAM_DIRECTORY!$D$2:$D$334, "Sports"))</f>
        <v>0</v>
      </c>
      <c r="J84" s="75">
        <f>SUMPRODUCT(COUNTIFS(PROGRAM_DIRECTORY!$A$2:$A$334, $N84:$AB84, PROGRAM_DIRECTORY!$E$2:$E$334, "Individual"))</f>
        <v>0</v>
      </c>
      <c r="K84" s="75">
        <f>SUMPRODUCT(COUNTIFS(PROGRAM_DIRECTORY!$A$2:$A$334, $N84:$AB84, PROGRAM_DIRECTORY!$E$2:$E$334, "Group"))</f>
        <v>0</v>
      </c>
      <c r="L84" s="75">
        <f t="shared" si="1"/>
        <v>0</v>
      </c>
      <c r="M84" s="75" t="str">
        <f t="shared" si="2"/>
        <v>Min 1 Required (Stage &amp; Non-Stage)</v>
      </c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AC84" s="79" t="str">
        <f t="shared" si="3"/>
        <v/>
      </c>
    </row>
    <row r="85">
      <c r="A85" s="74">
        <v>137.0</v>
      </c>
      <c r="B85" s="74" t="s">
        <v>739</v>
      </c>
      <c r="C85" s="74">
        <v>7.0</v>
      </c>
      <c r="D85" s="74" t="s">
        <v>7</v>
      </c>
      <c r="E85" s="74" t="s">
        <v>331</v>
      </c>
      <c r="F85" s="74" t="s">
        <v>622</v>
      </c>
      <c r="G85" s="75">
        <f>SUMPRODUCT(COUNTIFS(PROGRAM_DIRECTORY!$A$2:$A$334, $N85:$AB85, PROGRAM_DIRECTORY!$D$2:$D$334, "Non-Stage", PROGRAM_DIRECTORY!$E$2:$E$334, "Individual"))</f>
        <v>0</v>
      </c>
      <c r="H85" s="75">
        <f>SUMPRODUCT(COUNTIFS(PROGRAM_DIRECTORY!$A$2:$A$334, $N85:$AB85, PROGRAM_DIRECTORY!$D$2:$D$334, "Stage", PROGRAM_DIRECTORY!$E$2:$E$334, "Individual"))</f>
        <v>0</v>
      </c>
      <c r="I85" s="75">
        <f>SUMPRODUCT(COUNTIFS(PROGRAM_DIRECTORY!$A$2:$A$334, $N85:$AB85, PROGRAM_DIRECTORY!$D$2:$D$334, "Sports"))</f>
        <v>0</v>
      </c>
      <c r="J85" s="75">
        <f>SUMPRODUCT(COUNTIFS(PROGRAM_DIRECTORY!$A$2:$A$334, $N85:$AB85, PROGRAM_DIRECTORY!$E$2:$E$334, "Individual"))</f>
        <v>0</v>
      </c>
      <c r="K85" s="75">
        <f>SUMPRODUCT(COUNTIFS(PROGRAM_DIRECTORY!$A$2:$A$334, $N85:$AB85, PROGRAM_DIRECTORY!$E$2:$E$334, "Group"))</f>
        <v>0</v>
      </c>
      <c r="L85" s="75">
        <f t="shared" si="1"/>
        <v>0</v>
      </c>
      <c r="M85" s="75" t="str">
        <f t="shared" si="2"/>
        <v>Min 1 Required (Stage &amp; Non-Stage)</v>
      </c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AC85" s="79" t="str">
        <f t="shared" si="3"/>
        <v/>
      </c>
    </row>
    <row r="86">
      <c r="A86" s="74">
        <v>187.0</v>
      </c>
      <c r="B86" s="74" t="s">
        <v>740</v>
      </c>
      <c r="C86" s="74">
        <v>7.0</v>
      </c>
      <c r="D86" s="74" t="s">
        <v>7</v>
      </c>
      <c r="E86" s="74" t="s">
        <v>195</v>
      </c>
      <c r="F86" s="74" t="s">
        <v>622</v>
      </c>
      <c r="G86" s="75">
        <f>SUMPRODUCT(COUNTIFS(PROGRAM_DIRECTORY!$A$2:$A$334, $N86:$AB86, PROGRAM_DIRECTORY!$D$2:$D$334, "Non-Stage", PROGRAM_DIRECTORY!$E$2:$E$334, "Individual"))</f>
        <v>0</v>
      </c>
      <c r="H86" s="75">
        <f>SUMPRODUCT(COUNTIFS(PROGRAM_DIRECTORY!$A$2:$A$334, $N86:$AB86, PROGRAM_DIRECTORY!$D$2:$D$334, "Stage", PROGRAM_DIRECTORY!$E$2:$E$334, "Individual"))</f>
        <v>0</v>
      </c>
      <c r="I86" s="75">
        <f>SUMPRODUCT(COUNTIFS(PROGRAM_DIRECTORY!$A$2:$A$334, $N86:$AB86, PROGRAM_DIRECTORY!$D$2:$D$334, "Sports"))</f>
        <v>0</v>
      </c>
      <c r="J86" s="75">
        <f>SUMPRODUCT(COUNTIFS(PROGRAM_DIRECTORY!$A$2:$A$334, $N86:$AB86, PROGRAM_DIRECTORY!$E$2:$E$334, "Individual"))</f>
        <v>0</v>
      </c>
      <c r="K86" s="75">
        <f>SUMPRODUCT(COUNTIFS(PROGRAM_DIRECTORY!$A$2:$A$334, $N86:$AB86, PROGRAM_DIRECTORY!$E$2:$E$334, "Group"))</f>
        <v>0</v>
      </c>
      <c r="L86" s="75">
        <f t="shared" si="1"/>
        <v>0</v>
      </c>
      <c r="M86" s="75" t="str">
        <f t="shared" si="2"/>
        <v>Min 1 Required (Stage &amp; Non-Stage)</v>
      </c>
      <c r="N86" s="74"/>
      <c r="O86" s="74"/>
      <c r="P86" s="74"/>
      <c r="Q86" s="74"/>
      <c r="R86" s="74"/>
      <c r="S86" s="74"/>
      <c r="T86" s="75"/>
      <c r="U86" s="75"/>
      <c r="V86" s="75"/>
      <c r="W86" s="75"/>
      <c r="X86" s="75"/>
      <c r="AC86" s="79" t="str">
        <f t="shared" si="3"/>
        <v/>
      </c>
    </row>
    <row r="87">
      <c r="A87" s="74">
        <v>169.0</v>
      </c>
      <c r="B87" s="74" t="s">
        <v>741</v>
      </c>
      <c r="C87" s="74">
        <v>7.0</v>
      </c>
      <c r="D87" s="74" t="s">
        <v>7</v>
      </c>
      <c r="E87" s="74" t="s">
        <v>380</v>
      </c>
      <c r="F87" s="74" t="s">
        <v>622</v>
      </c>
      <c r="G87" s="75">
        <f>SUMPRODUCT(COUNTIFS(PROGRAM_DIRECTORY!$A$2:$A$334, $N87:$AB87, PROGRAM_DIRECTORY!$D$2:$D$334, "Non-Stage", PROGRAM_DIRECTORY!$E$2:$E$334, "Individual"))</f>
        <v>0</v>
      </c>
      <c r="H87" s="75">
        <f>SUMPRODUCT(COUNTIFS(PROGRAM_DIRECTORY!$A$2:$A$334, $N87:$AB87, PROGRAM_DIRECTORY!$D$2:$D$334, "Stage", PROGRAM_DIRECTORY!$E$2:$E$334, "Individual"))</f>
        <v>0</v>
      </c>
      <c r="I87" s="75">
        <f>SUMPRODUCT(COUNTIFS(PROGRAM_DIRECTORY!$A$2:$A$334, $N87:$AB87, PROGRAM_DIRECTORY!$D$2:$D$334, "Sports"))</f>
        <v>0</v>
      </c>
      <c r="J87" s="75">
        <f>SUMPRODUCT(COUNTIFS(PROGRAM_DIRECTORY!$A$2:$A$334, $N87:$AB87, PROGRAM_DIRECTORY!$E$2:$E$334, "Individual"))</f>
        <v>0</v>
      </c>
      <c r="K87" s="75">
        <f>SUMPRODUCT(COUNTIFS(PROGRAM_DIRECTORY!$A$2:$A$334, $N87:$AB87, PROGRAM_DIRECTORY!$E$2:$E$334, "Group"))</f>
        <v>0</v>
      </c>
      <c r="L87" s="75">
        <f t="shared" si="1"/>
        <v>0</v>
      </c>
      <c r="M87" s="75" t="str">
        <f t="shared" si="2"/>
        <v>Min 1 Required (Stage &amp; Non-Stage)</v>
      </c>
      <c r="N87" s="74"/>
      <c r="O87" s="75"/>
      <c r="P87" s="75"/>
      <c r="Q87" s="75"/>
      <c r="R87" s="75"/>
      <c r="S87" s="75"/>
      <c r="T87" s="75"/>
      <c r="U87" s="75"/>
      <c r="V87" s="75"/>
      <c r="W87" s="75"/>
      <c r="X87" s="75"/>
      <c r="AC87" s="79" t="str">
        <f t="shared" si="3"/>
        <v/>
      </c>
    </row>
    <row r="88">
      <c r="A88" s="74">
        <v>168.0</v>
      </c>
      <c r="B88" s="74" t="s">
        <v>742</v>
      </c>
      <c r="C88" s="74">
        <v>7.0</v>
      </c>
      <c r="D88" s="74" t="s">
        <v>7</v>
      </c>
      <c r="E88" s="74" t="s">
        <v>450</v>
      </c>
      <c r="F88" s="74" t="s">
        <v>622</v>
      </c>
      <c r="G88" s="75">
        <f>SUMPRODUCT(COUNTIFS(PROGRAM_DIRECTORY!$A$2:$A$334, $N88:$AB88, PROGRAM_DIRECTORY!$D$2:$D$334, "Non-Stage", PROGRAM_DIRECTORY!$E$2:$E$334, "Individual"))</f>
        <v>0</v>
      </c>
      <c r="H88" s="75">
        <f>SUMPRODUCT(COUNTIFS(PROGRAM_DIRECTORY!$A$2:$A$334, $N88:$AB88, PROGRAM_DIRECTORY!$D$2:$D$334, "Stage", PROGRAM_DIRECTORY!$E$2:$E$334, "Individual"))</f>
        <v>0</v>
      </c>
      <c r="I88" s="75">
        <f>SUMPRODUCT(COUNTIFS(PROGRAM_DIRECTORY!$A$2:$A$334, $N88:$AB88, PROGRAM_DIRECTORY!$D$2:$D$334, "Sports"))</f>
        <v>0</v>
      </c>
      <c r="J88" s="75">
        <f>SUMPRODUCT(COUNTIFS(PROGRAM_DIRECTORY!$A$2:$A$334, $N88:$AB88, PROGRAM_DIRECTORY!$E$2:$E$334, "Individual"))</f>
        <v>0</v>
      </c>
      <c r="K88" s="75">
        <f>SUMPRODUCT(COUNTIFS(PROGRAM_DIRECTORY!$A$2:$A$334, $N88:$AB88, PROGRAM_DIRECTORY!$E$2:$E$334, "Group"))</f>
        <v>0</v>
      </c>
      <c r="L88" s="75">
        <f t="shared" si="1"/>
        <v>0</v>
      </c>
      <c r="M88" s="75" t="str">
        <f t="shared" si="2"/>
        <v>Min 1 Required (Stage &amp; Non-Stage)</v>
      </c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AC88" s="79" t="str">
        <f t="shared" si="3"/>
        <v/>
      </c>
    </row>
    <row r="89">
      <c r="A89" s="74">
        <v>190.0</v>
      </c>
      <c r="B89" s="74" t="s">
        <v>743</v>
      </c>
      <c r="C89" s="74">
        <v>7.0</v>
      </c>
      <c r="D89" s="74" t="s">
        <v>7</v>
      </c>
      <c r="E89" s="74" t="s">
        <v>195</v>
      </c>
      <c r="F89" s="74" t="s">
        <v>622</v>
      </c>
      <c r="G89" s="75">
        <f>SUMPRODUCT(COUNTIFS(PROGRAM_DIRECTORY!$A$2:$A$334, $N89:$AB89, PROGRAM_DIRECTORY!$D$2:$D$334, "Non-Stage", PROGRAM_DIRECTORY!$E$2:$E$334, "Individual"))</f>
        <v>0</v>
      </c>
      <c r="H89" s="75">
        <f>SUMPRODUCT(COUNTIFS(PROGRAM_DIRECTORY!$A$2:$A$334, $N89:$AB89, PROGRAM_DIRECTORY!$D$2:$D$334, "Stage", PROGRAM_DIRECTORY!$E$2:$E$334, "Individual"))</f>
        <v>0</v>
      </c>
      <c r="I89" s="75">
        <f>SUMPRODUCT(COUNTIFS(PROGRAM_DIRECTORY!$A$2:$A$334, $N89:$AB89, PROGRAM_DIRECTORY!$D$2:$D$334, "Sports"))</f>
        <v>0</v>
      </c>
      <c r="J89" s="75">
        <f>SUMPRODUCT(COUNTIFS(PROGRAM_DIRECTORY!$A$2:$A$334, $N89:$AB89, PROGRAM_DIRECTORY!$E$2:$E$334, "Individual"))</f>
        <v>0</v>
      </c>
      <c r="K89" s="75">
        <f>SUMPRODUCT(COUNTIFS(PROGRAM_DIRECTORY!$A$2:$A$334, $N89:$AB89, PROGRAM_DIRECTORY!$E$2:$E$334, "Group"))</f>
        <v>0</v>
      </c>
      <c r="L89" s="75">
        <f t="shared" si="1"/>
        <v>0</v>
      </c>
      <c r="M89" s="75" t="str">
        <f t="shared" si="2"/>
        <v>Min 1 Required (Stage &amp; Non-Stage)</v>
      </c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AC89" s="79" t="str">
        <f t="shared" si="3"/>
        <v/>
      </c>
    </row>
    <row r="90">
      <c r="A90" s="74">
        <v>196.0</v>
      </c>
      <c r="B90" s="74" t="s">
        <v>744</v>
      </c>
      <c r="C90" s="74">
        <v>7.0</v>
      </c>
      <c r="D90" s="74" t="s">
        <v>7</v>
      </c>
      <c r="E90" s="74" t="s">
        <v>380</v>
      </c>
      <c r="F90" s="74" t="s">
        <v>622</v>
      </c>
      <c r="G90" s="75">
        <f>SUMPRODUCT(COUNTIFS(PROGRAM_DIRECTORY!$A$2:$A$334, $N90:$AB90, PROGRAM_DIRECTORY!$D$2:$D$334, "Non-Stage", PROGRAM_DIRECTORY!$E$2:$E$334, "Individual"))</f>
        <v>0</v>
      </c>
      <c r="H90" s="75">
        <f>SUMPRODUCT(COUNTIFS(PROGRAM_DIRECTORY!$A$2:$A$334, $N90:$AB90, PROGRAM_DIRECTORY!$D$2:$D$334, "Stage", PROGRAM_DIRECTORY!$E$2:$E$334, "Individual"))</f>
        <v>0</v>
      </c>
      <c r="I90" s="75">
        <f>SUMPRODUCT(COUNTIFS(PROGRAM_DIRECTORY!$A$2:$A$334, $N90:$AB90, PROGRAM_DIRECTORY!$D$2:$D$334, "Sports"))</f>
        <v>0</v>
      </c>
      <c r="J90" s="75">
        <f>SUMPRODUCT(COUNTIFS(PROGRAM_DIRECTORY!$A$2:$A$334, $N90:$AB90, PROGRAM_DIRECTORY!$E$2:$E$334, "Individual"))</f>
        <v>0</v>
      </c>
      <c r="K90" s="75">
        <f>SUMPRODUCT(COUNTIFS(PROGRAM_DIRECTORY!$A$2:$A$334, $N90:$AB90, PROGRAM_DIRECTORY!$E$2:$E$334, "Group"))</f>
        <v>0</v>
      </c>
      <c r="L90" s="75">
        <f t="shared" si="1"/>
        <v>0</v>
      </c>
      <c r="M90" s="75" t="str">
        <f t="shared" si="2"/>
        <v>Min 1 Required (Stage &amp; Non-Stage)</v>
      </c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AC90" s="79" t="str">
        <f t="shared" si="3"/>
        <v/>
      </c>
    </row>
    <row r="91">
      <c r="A91" s="74">
        <v>202.0</v>
      </c>
      <c r="B91" s="74" t="s">
        <v>745</v>
      </c>
      <c r="C91" s="74">
        <v>7.0</v>
      </c>
      <c r="D91" s="74" t="s">
        <v>7</v>
      </c>
      <c r="E91" s="74" t="s">
        <v>450</v>
      </c>
      <c r="F91" s="74" t="s">
        <v>622</v>
      </c>
      <c r="G91" s="75">
        <f>SUMPRODUCT(COUNTIFS(PROGRAM_DIRECTORY!$A$2:$A$334, $N91:$AB91, PROGRAM_DIRECTORY!$D$2:$D$334, "Non-Stage", PROGRAM_DIRECTORY!$E$2:$E$334, "Individual"))</f>
        <v>0</v>
      </c>
      <c r="H91" s="75">
        <f>SUMPRODUCT(COUNTIFS(PROGRAM_DIRECTORY!$A$2:$A$334, $N91:$AB91, PROGRAM_DIRECTORY!$D$2:$D$334, "Stage", PROGRAM_DIRECTORY!$E$2:$E$334, "Individual"))</f>
        <v>0</v>
      </c>
      <c r="I91" s="75">
        <f>SUMPRODUCT(COUNTIFS(PROGRAM_DIRECTORY!$A$2:$A$334, $N91:$AB91, PROGRAM_DIRECTORY!$D$2:$D$334, "Sports"))</f>
        <v>0</v>
      </c>
      <c r="J91" s="75">
        <f>SUMPRODUCT(COUNTIFS(PROGRAM_DIRECTORY!$A$2:$A$334, $N91:$AB91, PROGRAM_DIRECTORY!$E$2:$E$334, "Individual"))</f>
        <v>0</v>
      </c>
      <c r="K91" s="75">
        <f>SUMPRODUCT(COUNTIFS(PROGRAM_DIRECTORY!$A$2:$A$334, $N91:$AB91, PROGRAM_DIRECTORY!$E$2:$E$334, "Group"))</f>
        <v>0</v>
      </c>
      <c r="L91" s="75">
        <f t="shared" si="1"/>
        <v>0</v>
      </c>
      <c r="M91" s="75" t="str">
        <f t="shared" si="2"/>
        <v>Min 1 Required (Stage &amp; Non-Stage)</v>
      </c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AC91" s="79" t="str">
        <f t="shared" si="3"/>
        <v/>
      </c>
    </row>
    <row r="92">
      <c r="A92" s="74">
        <v>174.0</v>
      </c>
      <c r="B92" s="74" t="s">
        <v>746</v>
      </c>
      <c r="C92" s="74">
        <v>7.0</v>
      </c>
      <c r="D92" s="74" t="s">
        <v>7</v>
      </c>
      <c r="E92" s="74" t="s">
        <v>450</v>
      </c>
      <c r="F92" s="74" t="s">
        <v>622</v>
      </c>
      <c r="G92" s="75">
        <f>SUMPRODUCT(COUNTIFS(PROGRAM_DIRECTORY!$A$2:$A$334, $N92:$AB92, PROGRAM_DIRECTORY!$D$2:$D$334, "Non-Stage", PROGRAM_DIRECTORY!$E$2:$E$334, "Individual"))</f>
        <v>0</v>
      </c>
      <c r="H92" s="75">
        <f>SUMPRODUCT(COUNTIFS(PROGRAM_DIRECTORY!$A$2:$A$334, $N92:$AB92, PROGRAM_DIRECTORY!$D$2:$D$334, "Stage", PROGRAM_DIRECTORY!$E$2:$E$334, "Individual"))</f>
        <v>0</v>
      </c>
      <c r="I92" s="75">
        <f>SUMPRODUCT(COUNTIFS(PROGRAM_DIRECTORY!$A$2:$A$334, $N92:$AB92, PROGRAM_DIRECTORY!$D$2:$D$334, "Sports"))</f>
        <v>0</v>
      </c>
      <c r="J92" s="75">
        <f>SUMPRODUCT(COUNTIFS(PROGRAM_DIRECTORY!$A$2:$A$334, $N92:$AB92, PROGRAM_DIRECTORY!$E$2:$E$334, "Individual"))</f>
        <v>0</v>
      </c>
      <c r="K92" s="75">
        <f>SUMPRODUCT(COUNTIFS(PROGRAM_DIRECTORY!$A$2:$A$334, $N92:$AB92, PROGRAM_DIRECTORY!$E$2:$E$334, "Group"))</f>
        <v>0</v>
      </c>
      <c r="L92" s="75">
        <f t="shared" si="1"/>
        <v>0</v>
      </c>
      <c r="M92" s="75" t="str">
        <f t="shared" si="2"/>
        <v>Min 1 Required (Stage &amp; Non-Stage)</v>
      </c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AC92" s="79" t="str">
        <f t="shared" si="3"/>
        <v/>
      </c>
    </row>
    <row r="93">
      <c r="A93" s="74">
        <v>159.0</v>
      </c>
      <c r="B93" s="74" t="s">
        <v>747</v>
      </c>
      <c r="C93" s="74">
        <v>7.0</v>
      </c>
      <c r="D93" s="74" t="s">
        <v>7</v>
      </c>
      <c r="E93" s="74" t="s">
        <v>380</v>
      </c>
      <c r="F93" s="74" t="s">
        <v>622</v>
      </c>
      <c r="G93" s="75">
        <f>SUMPRODUCT(COUNTIFS(PROGRAM_DIRECTORY!$A$2:$A$334, $N93:$AB93, PROGRAM_DIRECTORY!$D$2:$D$334, "Non-Stage", PROGRAM_DIRECTORY!$E$2:$E$334, "Individual"))</f>
        <v>0</v>
      </c>
      <c r="H93" s="75">
        <f>SUMPRODUCT(COUNTIFS(PROGRAM_DIRECTORY!$A$2:$A$334, $N93:$AB93, PROGRAM_DIRECTORY!$D$2:$D$334, "Stage", PROGRAM_DIRECTORY!$E$2:$E$334, "Individual"))</f>
        <v>0</v>
      </c>
      <c r="I93" s="75">
        <f>SUMPRODUCT(COUNTIFS(PROGRAM_DIRECTORY!$A$2:$A$334, $N93:$AB93, PROGRAM_DIRECTORY!$D$2:$D$334, "Sports"))</f>
        <v>0</v>
      </c>
      <c r="J93" s="75">
        <f>SUMPRODUCT(COUNTIFS(PROGRAM_DIRECTORY!$A$2:$A$334, $N93:$AB93, PROGRAM_DIRECTORY!$E$2:$E$334, "Individual"))</f>
        <v>0</v>
      </c>
      <c r="K93" s="75">
        <f>SUMPRODUCT(COUNTIFS(PROGRAM_DIRECTORY!$A$2:$A$334, $N93:$AB93, PROGRAM_DIRECTORY!$E$2:$E$334, "Group"))</f>
        <v>0</v>
      </c>
      <c r="L93" s="75">
        <f t="shared" si="1"/>
        <v>0</v>
      </c>
      <c r="M93" s="75" t="str">
        <f t="shared" si="2"/>
        <v>Min 1 Required (Stage &amp; Non-Stage)</v>
      </c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AC93" s="79" t="str">
        <f t="shared" si="3"/>
        <v/>
      </c>
    </row>
    <row r="94">
      <c r="A94" s="74">
        <v>193.0</v>
      </c>
      <c r="B94" s="74" t="s">
        <v>748</v>
      </c>
      <c r="C94" s="74">
        <v>7.0</v>
      </c>
      <c r="D94" s="74" t="s">
        <v>7</v>
      </c>
      <c r="E94" s="74" t="s">
        <v>380</v>
      </c>
      <c r="F94" s="74" t="s">
        <v>622</v>
      </c>
      <c r="G94" s="75">
        <f>SUMPRODUCT(COUNTIFS(PROGRAM_DIRECTORY!$A$2:$A$334, $N94:$AB94, PROGRAM_DIRECTORY!$D$2:$D$334, "Non-Stage", PROGRAM_DIRECTORY!$E$2:$E$334, "Individual"))</f>
        <v>0</v>
      </c>
      <c r="H94" s="75">
        <f>SUMPRODUCT(COUNTIFS(PROGRAM_DIRECTORY!$A$2:$A$334, $N94:$AB94, PROGRAM_DIRECTORY!$D$2:$D$334, "Stage", PROGRAM_DIRECTORY!$E$2:$E$334, "Individual"))</f>
        <v>0</v>
      </c>
      <c r="I94" s="75">
        <f>SUMPRODUCT(COUNTIFS(PROGRAM_DIRECTORY!$A$2:$A$334, $N94:$AB94, PROGRAM_DIRECTORY!$D$2:$D$334, "Sports"))</f>
        <v>0</v>
      </c>
      <c r="J94" s="75">
        <f>SUMPRODUCT(COUNTIFS(PROGRAM_DIRECTORY!$A$2:$A$334, $N94:$AB94, PROGRAM_DIRECTORY!$E$2:$E$334, "Individual"))</f>
        <v>0</v>
      </c>
      <c r="K94" s="75">
        <f>SUMPRODUCT(COUNTIFS(PROGRAM_DIRECTORY!$A$2:$A$334, $N94:$AB94, PROGRAM_DIRECTORY!$E$2:$E$334, "Group"))</f>
        <v>0</v>
      </c>
      <c r="L94" s="75">
        <f t="shared" si="1"/>
        <v>0</v>
      </c>
      <c r="M94" s="75" t="str">
        <f t="shared" si="2"/>
        <v>Min 1 Required (Stage &amp; Non-Stage)</v>
      </c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AC94" s="79" t="str">
        <f t="shared" si="3"/>
        <v/>
      </c>
    </row>
    <row r="95">
      <c r="A95" s="74">
        <v>203.0</v>
      </c>
      <c r="B95" s="74" t="s">
        <v>749</v>
      </c>
      <c r="C95" s="74">
        <v>7.0</v>
      </c>
      <c r="D95" s="74" t="s">
        <v>7</v>
      </c>
      <c r="E95" s="74" t="s">
        <v>331</v>
      </c>
      <c r="F95" s="74" t="s">
        <v>622</v>
      </c>
      <c r="G95" s="75">
        <f>SUMPRODUCT(COUNTIFS(PROGRAM_DIRECTORY!$A$2:$A$334, $N95:$AB95, PROGRAM_DIRECTORY!$D$2:$D$334, "Non-Stage", PROGRAM_DIRECTORY!$E$2:$E$334, "Individual"))</f>
        <v>0</v>
      </c>
      <c r="H95" s="75">
        <f>SUMPRODUCT(COUNTIFS(PROGRAM_DIRECTORY!$A$2:$A$334, $N95:$AB95, PROGRAM_DIRECTORY!$D$2:$D$334, "Stage", PROGRAM_DIRECTORY!$E$2:$E$334, "Individual"))</f>
        <v>0</v>
      </c>
      <c r="I95" s="75">
        <f>SUMPRODUCT(COUNTIFS(PROGRAM_DIRECTORY!$A$2:$A$334, $N95:$AB95, PROGRAM_DIRECTORY!$D$2:$D$334, "Sports"))</f>
        <v>0</v>
      </c>
      <c r="J95" s="75">
        <f>SUMPRODUCT(COUNTIFS(PROGRAM_DIRECTORY!$A$2:$A$334, $N95:$AB95, PROGRAM_DIRECTORY!$E$2:$E$334, "Individual"))</f>
        <v>0</v>
      </c>
      <c r="K95" s="75">
        <f>SUMPRODUCT(COUNTIFS(PROGRAM_DIRECTORY!$A$2:$A$334, $N95:$AB95, PROGRAM_DIRECTORY!$E$2:$E$334, "Group"))</f>
        <v>0</v>
      </c>
      <c r="L95" s="75">
        <f t="shared" si="1"/>
        <v>0</v>
      </c>
      <c r="M95" s="75" t="str">
        <f t="shared" si="2"/>
        <v>Min 1 Required (Stage &amp; Non-Stage)</v>
      </c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AC95" s="79" t="str">
        <f t="shared" si="3"/>
        <v/>
      </c>
    </row>
    <row r="96">
      <c r="A96" s="74">
        <v>184.0</v>
      </c>
      <c r="B96" s="74" t="s">
        <v>750</v>
      </c>
      <c r="C96" s="74">
        <v>7.0</v>
      </c>
      <c r="D96" s="74" t="s">
        <v>7</v>
      </c>
      <c r="E96" s="74" t="s">
        <v>331</v>
      </c>
      <c r="F96" s="74" t="s">
        <v>622</v>
      </c>
      <c r="G96" s="75">
        <f>SUMPRODUCT(COUNTIFS(PROGRAM_DIRECTORY!$A$2:$A$334, $N96:$AB96, PROGRAM_DIRECTORY!$D$2:$D$334, "Non-Stage", PROGRAM_DIRECTORY!$E$2:$E$334, "Individual"))</f>
        <v>0</v>
      </c>
      <c r="H96" s="75">
        <f>SUMPRODUCT(COUNTIFS(PROGRAM_DIRECTORY!$A$2:$A$334, $N96:$AB96, PROGRAM_DIRECTORY!$D$2:$D$334, "Stage", PROGRAM_DIRECTORY!$E$2:$E$334, "Individual"))</f>
        <v>0</v>
      </c>
      <c r="I96" s="75">
        <f>SUMPRODUCT(COUNTIFS(PROGRAM_DIRECTORY!$A$2:$A$334, $N96:$AB96, PROGRAM_DIRECTORY!$D$2:$D$334, "Sports"))</f>
        <v>0</v>
      </c>
      <c r="J96" s="75">
        <f>SUMPRODUCT(COUNTIFS(PROGRAM_DIRECTORY!$A$2:$A$334, $N96:$AB96, PROGRAM_DIRECTORY!$E$2:$E$334, "Individual"))</f>
        <v>0</v>
      </c>
      <c r="K96" s="75">
        <f>SUMPRODUCT(COUNTIFS(PROGRAM_DIRECTORY!$A$2:$A$334, $N96:$AB96, PROGRAM_DIRECTORY!$E$2:$E$334, "Group"))</f>
        <v>0</v>
      </c>
      <c r="L96" s="75">
        <f t="shared" si="1"/>
        <v>0</v>
      </c>
      <c r="M96" s="75" t="str">
        <f t="shared" si="2"/>
        <v>Min 1 Required (Stage &amp; Non-Stage)</v>
      </c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AC96" s="79" t="str">
        <f t="shared" si="3"/>
        <v/>
      </c>
    </row>
    <row r="97">
      <c r="A97" s="74">
        <v>176.0</v>
      </c>
      <c r="B97" s="74" t="s">
        <v>751</v>
      </c>
      <c r="C97" s="74">
        <v>7.0</v>
      </c>
      <c r="D97" s="74" t="s">
        <v>7</v>
      </c>
      <c r="E97" s="74" t="s">
        <v>380</v>
      </c>
      <c r="F97" s="74" t="s">
        <v>622</v>
      </c>
      <c r="G97" s="75">
        <f>SUMPRODUCT(COUNTIFS(PROGRAM_DIRECTORY!$A$2:$A$334, $N97:$AB97, PROGRAM_DIRECTORY!$D$2:$D$334, "Non-Stage", PROGRAM_DIRECTORY!$E$2:$E$334, "Individual"))</f>
        <v>0</v>
      </c>
      <c r="H97" s="75">
        <f>SUMPRODUCT(COUNTIFS(PROGRAM_DIRECTORY!$A$2:$A$334, $N97:$AB97, PROGRAM_DIRECTORY!$D$2:$D$334, "Stage", PROGRAM_DIRECTORY!$E$2:$E$334, "Individual"))</f>
        <v>0</v>
      </c>
      <c r="I97" s="75">
        <f>SUMPRODUCT(COUNTIFS(PROGRAM_DIRECTORY!$A$2:$A$334, $N97:$AB97, PROGRAM_DIRECTORY!$D$2:$D$334, "Sports"))</f>
        <v>0</v>
      </c>
      <c r="J97" s="75">
        <f>SUMPRODUCT(COUNTIFS(PROGRAM_DIRECTORY!$A$2:$A$334, $N97:$AB97, PROGRAM_DIRECTORY!$E$2:$E$334, "Individual"))</f>
        <v>0</v>
      </c>
      <c r="K97" s="75">
        <f>SUMPRODUCT(COUNTIFS(PROGRAM_DIRECTORY!$A$2:$A$334, $N97:$AB97, PROGRAM_DIRECTORY!$E$2:$E$334, "Group"))</f>
        <v>0</v>
      </c>
      <c r="L97" s="75">
        <f t="shared" si="1"/>
        <v>0</v>
      </c>
      <c r="M97" s="75" t="str">
        <f t="shared" si="2"/>
        <v>Min 1 Required (Stage &amp; Non-Stage)</v>
      </c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AC97" s="79" t="str">
        <f t="shared" si="3"/>
        <v/>
      </c>
    </row>
    <row r="98">
      <c r="A98" s="74">
        <v>183.0</v>
      </c>
      <c r="B98" s="74" t="s">
        <v>752</v>
      </c>
      <c r="C98" s="74">
        <v>7.0</v>
      </c>
      <c r="D98" s="74" t="s">
        <v>7</v>
      </c>
      <c r="E98" s="74" t="s">
        <v>331</v>
      </c>
      <c r="F98" s="74" t="s">
        <v>622</v>
      </c>
      <c r="G98" s="75">
        <f>SUMPRODUCT(COUNTIFS(PROGRAM_DIRECTORY!$A$2:$A$334, $N98:$AB98, PROGRAM_DIRECTORY!$D$2:$D$334, "Non-Stage", PROGRAM_DIRECTORY!$E$2:$E$334, "Individual"))</f>
        <v>0</v>
      </c>
      <c r="H98" s="75">
        <f>SUMPRODUCT(COUNTIFS(PROGRAM_DIRECTORY!$A$2:$A$334, $N98:$AB98, PROGRAM_DIRECTORY!$D$2:$D$334, "Stage", PROGRAM_DIRECTORY!$E$2:$E$334, "Individual"))</f>
        <v>0</v>
      </c>
      <c r="I98" s="75">
        <f>SUMPRODUCT(COUNTIFS(PROGRAM_DIRECTORY!$A$2:$A$334, $N98:$AB98, PROGRAM_DIRECTORY!$D$2:$D$334, "Sports"))</f>
        <v>0</v>
      </c>
      <c r="J98" s="75">
        <f>SUMPRODUCT(COUNTIFS(PROGRAM_DIRECTORY!$A$2:$A$334, $N98:$AB98, PROGRAM_DIRECTORY!$E$2:$E$334, "Individual"))</f>
        <v>0</v>
      </c>
      <c r="K98" s="75">
        <f>SUMPRODUCT(COUNTIFS(PROGRAM_DIRECTORY!$A$2:$A$334, $N98:$AB98, PROGRAM_DIRECTORY!$E$2:$E$334, "Group"))</f>
        <v>0</v>
      </c>
      <c r="L98" s="75">
        <f t="shared" si="1"/>
        <v>0</v>
      </c>
      <c r="M98" s="75" t="str">
        <f t="shared" si="2"/>
        <v>Min 1 Required (Stage &amp; Non-Stage)</v>
      </c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AC98" s="79" t="str">
        <f t="shared" si="3"/>
        <v/>
      </c>
    </row>
    <row r="99">
      <c r="A99" s="74">
        <v>194.0</v>
      </c>
      <c r="B99" s="74" t="s">
        <v>753</v>
      </c>
      <c r="C99" s="74">
        <v>7.0</v>
      </c>
      <c r="D99" s="74" t="s">
        <v>7</v>
      </c>
      <c r="E99" s="74" t="s">
        <v>450</v>
      </c>
      <c r="F99" s="74" t="s">
        <v>622</v>
      </c>
      <c r="G99" s="75">
        <f>SUMPRODUCT(COUNTIFS(PROGRAM_DIRECTORY!$A$2:$A$334, $N99:$AB99, PROGRAM_DIRECTORY!$D$2:$D$334, "Non-Stage", PROGRAM_DIRECTORY!$E$2:$E$334, "Individual"))</f>
        <v>0</v>
      </c>
      <c r="H99" s="75">
        <f>SUMPRODUCT(COUNTIFS(PROGRAM_DIRECTORY!$A$2:$A$334, $N99:$AB99, PROGRAM_DIRECTORY!$D$2:$D$334, "Stage", PROGRAM_DIRECTORY!$E$2:$E$334, "Individual"))</f>
        <v>0</v>
      </c>
      <c r="I99" s="75">
        <f>SUMPRODUCT(COUNTIFS(PROGRAM_DIRECTORY!$A$2:$A$334, $N99:$AB99, PROGRAM_DIRECTORY!$D$2:$D$334, "Sports"))</f>
        <v>0</v>
      </c>
      <c r="J99" s="75">
        <f>SUMPRODUCT(COUNTIFS(PROGRAM_DIRECTORY!$A$2:$A$334, $N99:$AB99, PROGRAM_DIRECTORY!$E$2:$E$334, "Individual"))</f>
        <v>0</v>
      </c>
      <c r="K99" s="75">
        <f>SUMPRODUCT(COUNTIFS(PROGRAM_DIRECTORY!$A$2:$A$334, $N99:$AB99, PROGRAM_DIRECTORY!$E$2:$E$334, "Group"))</f>
        <v>0</v>
      </c>
      <c r="L99" s="75">
        <f t="shared" si="1"/>
        <v>0</v>
      </c>
      <c r="M99" s="75" t="str">
        <f t="shared" si="2"/>
        <v>Min 1 Required (Stage &amp; Non-Stage)</v>
      </c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AC99" s="79" t="str">
        <f t="shared" si="3"/>
        <v/>
      </c>
    </row>
    <row r="100">
      <c r="A100" s="74">
        <v>177.0</v>
      </c>
      <c r="B100" s="74" t="s">
        <v>754</v>
      </c>
      <c r="C100" s="74">
        <v>7.0</v>
      </c>
      <c r="D100" s="74" t="s">
        <v>7</v>
      </c>
      <c r="E100" s="74" t="s">
        <v>195</v>
      </c>
      <c r="F100" s="74" t="s">
        <v>622</v>
      </c>
      <c r="G100" s="75">
        <f>SUMPRODUCT(COUNTIFS(PROGRAM_DIRECTORY!$A$2:$A$334, $N100:$AB100, PROGRAM_DIRECTORY!$D$2:$D$334, "Non-Stage", PROGRAM_DIRECTORY!$E$2:$E$334, "Individual"))</f>
        <v>0</v>
      </c>
      <c r="H100" s="75">
        <f>SUMPRODUCT(COUNTIFS(PROGRAM_DIRECTORY!$A$2:$A$334, $N100:$AB100, PROGRAM_DIRECTORY!$D$2:$D$334, "Stage", PROGRAM_DIRECTORY!$E$2:$E$334, "Individual"))</f>
        <v>0</v>
      </c>
      <c r="I100" s="75">
        <f>SUMPRODUCT(COUNTIFS(PROGRAM_DIRECTORY!$A$2:$A$334, $N100:$AB100, PROGRAM_DIRECTORY!$D$2:$D$334, "Sports"))</f>
        <v>0</v>
      </c>
      <c r="J100" s="75">
        <f>SUMPRODUCT(COUNTIFS(PROGRAM_DIRECTORY!$A$2:$A$334, $N100:$AB100, PROGRAM_DIRECTORY!$E$2:$E$334, "Individual"))</f>
        <v>0</v>
      </c>
      <c r="K100" s="75">
        <f>SUMPRODUCT(COUNTIFS(PROGRAM_DIRECTORY!$A$2:$A$334, $N100:$AB100, PROGRAM_DIRECTORY!$E$2:$E$334, "Group"))</f>
        <v>0</v>
      </c>
      <c r="L100" s="75">
        <f t="shared" si="1"/>
        <v>0</v>
      </c>
      <c r="M100" s="75" t="str">
        <f t="shared" si="2"/>
        <v>Min 1 Required (Stage &amp; Non-Stage)</v>
      </c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AC100" s="79" t="str">
        <f t="shared" si="3"/>
        <v/>
      </c>
    </row>
    <row r="101">
      <c r="A101" s="74">
        <v>195.0</v>
      </c>
      <c r="B101" s="74" t="s">
        <v>755</v>
      </c>
      <c r="C101" s="74">
        <v>7.0</v>
      </c>
      <c r="D101" s="74" t="s">
        <v>7</v>
      </c>
      <c r="E101" s="74" t="s">
        <v>450</v>
      </c>
      <c r="F101" s="74" t="s">
        <v>622</v>
      </c>
      <c r="G101" s="75">
        <f>SUMPRODUCT(COUNTIFS(PROGRAM_DIRECTORY!$A$2:$A$334, $N101:$AB101, PROGRAM_DIRECTORY!$D$2:$D$334, "Non-Stage", PROGRAM_DIRECTORY!$E$2:$E$334, "Individual"))</f>
        <v>0</v>
      </c>
      <c r="H101" s="75">
        <f>SUMPRODUCT(COUNTIFS(PROGRAM_DIRECTORY!$A$2:$A$334, $N101:$AB101, PROGRAM_DIRECTORY!$D$2:$D$334, "Stage", PROGRAM_DIRECTORY!$E$2:$E$334, "Individual"))</f>
        <v>0</v>
      </c>
      <c r="I101" s="75">
        <f>SUMPRODUCT(COUNTIFS(PROGRAM_DIRECTORY!$A$2:$A$334, $N101:$AB101, PROGRAM_DIRECTORY!$D$2:$D$334, "Sports"))</f>
        <v>0</v>
      </c>
      <c r="J101" s="75">
        <f>SUMPRODUCT(COUNTIFS(PROGRAM_DIRECTORY!$A$2:$A$334, $N101:$AB101, PROGRAM_DIRECTORY!$E$2:$E$334, "Individual"))</f>
        <v>0</v>
      </c>
      <c r="K101" s="75">
        <f>SUMPRODUCT(COUNTIFS(PROGRAM_DIRECTORY!$A$2:$A$334, $N101:$AB101, PROGRAM_DIRECTORY!$E$2:$E$334, "Group"))</f>
        <v>0</v>
      </c>
      <c r="L101" s="75">
        <f t="shared" si="1"/>
        <v>0</v>
      </c>
      <c r="M101" s="75" t="str">
        <f t="shared" si="2"/>
        <v>Min 1 Required (Stage &amp; Non-Stage)</v>
      </c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AC101" s="79" t="str">
        <f t="shared" si="3"/>
        <v/>
      </c>
    </row>
    <row r="102">
      <c r="A102" s="74">
        <v>175.0</v>
      </c>
      <c r="B102" s="74" t="s">
        <v>756</v>
      </c>
      <c r="C102" s="74">
        <v>7.0</v>
      </c>
      <c r="D102" s="74" t="s">
        <v>7</v>
      </c>
      <c r="E102" s="74" t="s">
        <v>380</v>
      </c>
      <c r="F102" s="74" t="s">
        <v>622</v>
      </c>
      <c r="G102" s="75">
        <f>SUMPRODUCT(COUNTIFS(PROGRAM_DIRECTORY!$A$2:$A$334, $N102:$AB102, PROGRAM_DIRECTORY!$D$2:$D$334, "Non-Stage", PROGRAM_DIRECTORY!$E$2:$E$334, "Individual"))</f>
        <v>0</v>
      </c>
      <c r="H102" s="75">
        <f>SUMPRODUCT(COUNTIFS(PROGRAM_DIRECTORY!$A$2:$A$334, $N102:$AB102, PROGRAM_DIRECTORY!$D$2:$D$334, "Stage", PROGRAM_DIRECTORY!$E$2:$E$334, "Individual"))</f>
        <v>0</v>
      </c>
      <c r="I102" s="75">
        <f>SUMPRODUCT(COUNTIFS(PROGRAM_DIRECTORY!$A$2:$A$334, $N102:$AB102, PROGRAM_DIRECTORY!$D$2:$D$334, "Sports"))</f>
        <v>0</v>
      </c>
      <c r="J102" s="75">
        <f>SUMPRODUCT(COUNTIFS(PROGRAM_DIRECTORY!$A$2:$A$334, $N102:$AB102, PROGRAM_DIRECTORY!$E$2:$E$334, "Individual"))</f>
        <v>0</v>
      </c>
      <c r="K102" s="75">
        <f>SUMPRODUCT(COUNTIFS(PROGRAM_DIRECTORY!$A$2:$A$334, $N102:$AB102, PROGRAM_DIRECTORY!$E$2:$E$334, "Group"))</f>
        <v>0</v>
      </c>
      <c r="L102" s="75">
        <f t="shared" si="1"/>
        <v>0</v>
      </c>
      <c r="M102" s="75" t="str">
        <f t="shared" si="2"/>
        <v>Min 1 Required (Stage &amp; Non-Stage)</v>
      </c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AC102" s="79" t="str">
        <f t="shared" si="3"/>
        <v/>
      </c>
    </row>
    <row r="103">
      <c r="A103" s="74">
        <v>305.0</v>
      </c>
      <c r="B103" s="74" t="s">
        <v>757</v>
      </c>
      <c r="C103" s="74">
        <v>7.0</v>
      </c>
      <c r="D103" s="74" t="s">
        <v>7</v>
      </c>
      <c r="E103" s="74" t="s">
        <v>195</v>
      </c>
      <c r="F103" s="74" t="s">
        <v>622</v>
      </c>
      <c r="G103" s="75">
        <f>SUMPRODUCT(COUNTIFS(PROGRAM_DIRECTORY!$A$2:$A$334, $N103:$AB103, PROGRAM_DIRECTORY!$D$2:$D$334, "Non-Stage", PROGRAM_DIRECTORY!$E$2:$E$334, "Individual"))</f>
        <v>0</v>
      </c>
      <c r="H103" s="75">
        <f>SUMPRODUCT(COUNTIFS(PROGRAM_DIRECTORY!$A$2:$A$334, $N103:$AB103, PROGRAM_DIRECTORY!$D$2:$D$334, "Stage", PROGRAM_DIRECTORY!$E$2:$E$334, "Individual"))</f>
        <v>0</v>
      </c>
      <c r="I103" s="75">
        <f>SUMPRODUCT(COUNTIFS(PROGRAM_DIRECTORY!$A$2:$A$334, $N103:$AB103, PROGRAM_DIRECTORY!$D$2:$D$334, "Sports"))</f>
        <v>0</v>
      </c>
      <c r="J103" s="75">
        <f>SUMPRODUCT(COUNTIFS(PROGRAM_DIRECTORY!$A$2:$A$334, $N103:$AB103, PROGRAM_DIRECTORY!$E$2:$E$334, "Individual"))</f>
        <v>0</v>
      </c>
      <c r="K103" s="75">
        <f>SUMPRODUCT(COUNTIFS(PROGRAM_DIRECTORY!$A$2:$A$334, $N103:$AB103, PROGRAM_DIRECTORY!$E$2:$E$334, "Group"))</f>
        <v>0</v>
      </c>
      <c r="L103" s="75">
        <f t="shared" si="1"/>
        <v>0</v>
      </c>
      <c r="M103" s="75" t="str">
        <f t="shared" si="2"/>
        <v>Min 1 Required (Stage &amp; Non-Stage)</v>
      </c>
      <c r="N103" s="74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AC103" s="79" t="str">
        <f t="shared" si="3"/>
        <v/>
      </c>
    </row>
    <row r="104">
      <c r="A104" s="74">
        <v>440.0</v>
      </c>
      <c r="B104" s="74" t="s">
        <v>758</v>
      </c>
      <c r="C104" s="74">
        <v>7.0</v>
      </c>
      <c r="D104" s="74" t="s">
        <v>7</v>
      </c>
      <c r="E104" s="74" t="s">
        <v>331</v>
      </c>
      <c r="F104" s="74" t="s">
        <v>622</v>
      </c>
      <c r="G104" s="75">
        <f>SUMPRODUCT(COUNTIFS(PROGRAM_DIRECTORY!$A$2:$A$334, $N104:$AB104, PROGRAM_DIRECTORY!$D$2:$D$334, "Non-Stage", PROGRAM_DIRECTORY!$E$2:$E$334, "Individual"))</f>
        <v>0</v>
      </c>
      <c r="H104" s="75">
        <f>SUMPRODUCT(COUNTIFS(PROGRAM_DIRECTORY!$A$2:$A$334, $N104:$AB104, PROGRAM_DIRECTORY!$D$2:$D$334, "Stage", PROGRAM_DIRECTORY!$E$2:$E$334, "Individual"))</f>
        <v>0</v>
      </c>
      <c r="I104" s="75">
        <f>SUMPRODUCT(COUNTIFS(PROGRAM_DIRECTORY!$A$2:$A$334, $N104:$AB104, PROGRAM_DIRECTORY!$D$2:$D$334, "Sports"))</f>
        <v>0</v>
      </c>
      <c r="J104" s="75">
        <f>SUMPRODUCT(COUNTIFS(PROGRAM_DIRECTORY!$A$2:$A$334, $N104:$AB104, PROGRAM_DIRECTORY!$E$2:$E$334, "Individual"))</f>
        <v>0</v>
      </c>
      <c r="K104" s="75">
        <f>SUMPRODUCT(COUNTIFS(PROGRAM_DIRECTORY!$A$2:$A$334, $N104:$AB104, PROGRAM_DIRECTORY!$E$2:$E$334, "Group"))</f>
        <v>0</v>
      </c>
      <c r="L104" s="75">
        <f t="shared" si="1"/>
        <v>0</v>
      </c>
      <c r="M104" s="75" t="str">
        <f t="shared" si="2"/>
        <v>Min 1 Required (Stage &amp; Non-Stage)</v>
      </c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AC104" s="79" t="str">
        <f t="shared" si="3"/>
        <v/>
      </c>
    </row>
    <row r="105">
      <c r="A105" s="74">
        <v>441.0</v>
      </c>
      <c r="B105" s="74" t="s">
        <v>759</v>
      </c>
      <c r="C105" s="74">
        <v>7.0</v>
      </c>
      <c r="D105" s="74" t="s">
        <v>7</v>
      </c>
      <c r="E105" s="74" t="s">
        <v>450</v>
      </c>
      <c r="F105" s="74" t="s">
        <v>622</v>
      </c>
      <c r="G105" s="75">
        <f>SUMPRODUCT(COUNTIFS(PROGRAM_DIRECTORY!$A$2:$A$334, $N105:$AB105, PROGRAM_DIRECTORY!$D$2:$D$334, "Non-Stage", PROGRAM_DIRECTORY!$E$2:$E$334, "Individual"))</f>
        <v>0</v>
      </c>
      <c r="H105" s="75">
        <f>SUMPRODUCT(COUNTIFS(PROGRAM_DIRECTORY!$A$2:$A$334, $N105:$AB105, PROGRAM_DIRECTORY!$D$2:$D$334, "Stage", PROGRAM_DIRECTORY!$E$2:$E$334, "Individual"))</f>
        <v>0</v>
      </c>
      <c r="I105" s="75">
        <f>SUMPRODUCT(COUNTIFS(PROGRAM_DIRECTORY!$A$2:$A$334, $N105:$AB105, PROGRAM_DIRECTORY!$D$2:$D$334, "Sports"))</f>
        <v>0</v>
      </c>
      <c r="J105" s="75">
        <f>SUMPRODUCT(COUNTIFS(PROGRAM_DIRECTORY!$A$2:$A$334, $N105:$AB105, PROGRAM_DIRECTORY!$E$2:$E$334, "Individual"))</f>
        <v>0</v>
      </c>
      <c r="K105" s="75">
        <f>SUMPRODUCT(COUNTIFS(PROGRAM_DIRECTORY!$A$2:$A$334, $N105:$AB105, PROGRAM_DIRECTORY!$E$2:$E$334, "Group"))</f>
        <v>0</v>
      </c>
      <c r="L105" s="75">
        <f t="shared" si="1"/>
        <v>0</v>
      </c>
      <c r="M105" s="75" t="str">
        <f t="shared" si="2"/>
        <v>Min 1 Required (Stage &amp; Non-Stage)</v>
      </c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AC105" s="79" t="str">
        <f t="shared" si="3"/>
        <v/>
      </c>
    </row>
    <row r="106">
      <c r="A106" s="74">
        <v>442.0</v>
      </c>
      <c r="B106" s="74" t="s">
        <v>760</v>
      </c>
      <c r="C106" s="74">
        <v>7.0</v>
      </c>
      <c r="D106" s="74" t="s">
        <v>7</v>
      </c>
      <c r="E106" s="74" t="s">
        <v>380</v>
      </c>
      <c r="F106" s="74" t="s">
        <v>622</v>
      </c>
      <c r="G106" s="75">
        <f>SUMPRODUCT(COUNTIFS(PROGRAM_DIRECTORY!$A$2:$A$334, $N106:$AB106, PROGRAM_DIRECTORY!$D$2:$D$334, "Non-Stage", PROGRAM_DIRECTORY!$E$2:$E$334, "Individual"))</f>
        <v>0</v>
      </c>
      <c r="H106" s="75">
        <f>SUMPRODUCT(COUNTIFS(PROGRAM_DIRECTORY!$A$2:$A$334, $N106:$AB106, PROGRAM_DIRECTORY!$D$2:$D$334, "Stage", PROGRAM_DIRECTORY!$E$2:$E$334, "Individual"))</f>
        <v>0</v>
      </c>
      <c r="I106" s="75">
        <f>SUMPRODUCT(COUNTIFS(PROGRAM_DIRECTORY!$A$2:$A$334, $N106:$AB106, PROGRAM_DIRECTORY!$D$2:$D$334, "Sports"))</f>
        <v>0</v>
      </c>
      <c r="J106" s="75">
        <f>SUMPRODUCT(COUNTIFS(PROGRAM_DIRECTORY!$A$2:$A$334, $N106:$AB106, PROGRAM_DIRECTORY!$E$2:$E$334, "Individual"))</f>
        <v>0</v>
      </c>
      <c r="K106" s="75">
        <f>SUMPRODUCT(COUNTIFS(PROGRAM_DIRECTORY!$A$2:$A$334, $N106:$AB106, PROGRAM_DIRECTORY!$E$2:$E$334, "Group"))</f>
        <v>0</v>
      </c>
      <c r="L106" s="75">
        <f t="shared" si="1"/>
        <v>0</v>
      </c>
      <c r="M106" s="75" t="str">
        <f t="shared" si="2"/>
        <v>Min 1 Required (Stage &amp; Non-Stage)</v>
      </c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AC106" s="79" t="str">
        <f t="shared" si="3"/>
        <v/>
      </c>
    </row>
    <row r="107">
      <c r="A107" s="74">
        <v>443.0</v>
      </c>
      <c r="B107" s="74" t="s">
        <v>761</v>
      </c>
      <c r="C107" s="74">
        <v>7.0</v>
      </c>
      <c r="D107" s="74" t="s">
        <v>7</v>
      </c>
      <c r="E107" s="74" t="s">
        <v>195</v>
      </c>
      <c r="F107" s="74" t="s">
        <v>622</v>
      </c>
      <c r="G107" s="75">
        <f>SUMPRODUCT(COUNTIFS(PROGRAM_DIRECTORY!$A$2:$A$334, $N107:$AB107, PROGRAM_DIRECTORY!$D$2:$D$334, "Non-Stage", PROGRAM_DIRECTORY!$E$2:$E$334, "Individual"))</f>
        <v>0</v>
      </c>
      <c r="H107" s="75">
        <f>SUMPRODUCT(COUNTIFS(PROGRAM_DIRECTORY!$A$2:$A$334, $N107:$AB107, PROGRAM_DIRECTORY!$D$2:$D$334, "Stage", PROGRAM_DIRECTORY!$E$2:$E$334, "Individual"))</f>
        <v>0</v>
      </c>
      <c r="I107" s="75">
        <f>SUMPRODUCT(COUNTIFS(PROGRAM_DIRECTORY!$A$2:$A$334, $N107:$AB107, PROGRAM_DIRECTORY!$D$2:$D$334, "Sports"))</f>
        <v>0</v>
      </c>
      <c r="J107" s="75">
        <f>SUMPRODUCT(COUNTIFS(PROGRAM_DIRECTORY!$A$2:$A$334, $N107:$AB107, PROGRAM_DIRECTORY!$E$2:$E$334, "Individual"))</f>
        <v>0</v>
      </c>
      <c r="K107" s="75">
        <f>SUMPRODUCT(COUNTIFS(PROGRAM_DIRECTORY!$A$2:$A$334, $N107:$AB107, PROGRAM_DIRECTORY!$E$2:$E$334, "Group"))</f>
        <v>0</v>
      </c>
      <c r="L107" s="75">
        <f t="shared" si="1"/>
        <v>0</v>
      </c>
      <c r="M107" s="75" t="str">
        <f t="shared" si="2"/>
        <v>Min 1 Required (Stage &amp; Non-Stage)</v>
      </c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AC107" s="79" t="str">
        <f t="shared" si="3"/>
        <v/>
      </c>
    </row>
    <row r="108">
      <c r="A108" s="74">
        <v>444.0</v>
      </c>
      <c r="B108" s="74" t="s">
        <v>762</v>
      </c>
      <c r="C108" s="74">
        <v>7.0</v>
      </c>
      <c r="D108" s="74" t="s">
        <v>7</v>
      </c>
      <c r="E108" s="74" t="s">
        <v>195</v>
      </c>
      <c r="F108" s="74" t="s">
        <v>622</v>
      </c>
      <c r="G108" s="75">
        <f>SUMPRODUCT(COUNTIFS(PROGRAM_DIRECTORY!$A$2:$A$334, $N108:$AB108, PROGRAM_DIRECTORY!$D$2:$D$334, "Non-Stage", PROGRAM_DIRECTORY!$E$2:$E$334, "Individual"))</f>
        <v>0</v>
      </c>
      <c r="H108" s="75">
        <f>SUMPRODUCT(COUNTIFS(PROGRAM_DIRECTORY!$A$2:$A$334, $N108:$AB108, PROGRAM_DIRECTORY!$D$2:$D$334, "Stage", PROGRAM_DIRECTORY!$E$2:$E$334, "Individual"))</f>
        <v>0</v>
      </c>
      <c r="I108" s="75">
        <f>SUMPRODUCT(COUNTIFS(PROGRAM_DIRECTORY!$A$2:$A$334, $N108:$AB108, PROGRAM_DIRECTORY!$D$2:$D$334, "Sports"))</f>
        <v>0</v>
      </c>
      <c r="J108" s="75">
        <f>SUMPRODUCT(COUNTIFS(PROGRAM_DIRECTORY!$A$2:$A$334, $N108:$AB108, PROGRAM_DIRECTORY!$E$2:$E$334, "Individual"))</f>
        <v>0</v>
      </c>
      <c r="K108" s="75">
        <f>SUMPRODUCT(COUNTIFS(PROGRAM_DIRECTORY!$A$2:$A$334, $N108:$AB108, PROGRAM_DIRECTORY!$E$2:$E$334, "Group"))</f>
        <v>0</v>
      </c>
      <c r="L108" s="75">
        <f t="shared" si="1"/>
        <v>0</v>
      </c>
      <c r="M108" s="75" t="str">
        <f t="shared" si="2"/>
        <v>Min 1 Required (Stage &amp; Non-Stage)</v>
      </c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AC108" s="79" t="str">
        <f t="shared" si="3"/>
        <v/>
      </c>
    </row>
    <row r="109">
      <c r="A109" s="74">
        <v>447.0</v>
      </c>
      <c r="B109" s="74" t="s">
        <v>763</v>
      </c>
      <c r="C109" s="74">
        <v>7.0</v>
      </c>
      <c r="D109" s="74" t="s">
        <v>7</v>
      </c>
      <c r="E109" s="74" t="s">
        <v>331</v>
      </c>
      <c r="F109" s="74" t="s">
        <v>622</v>
      </c>
      <c r="G109" s="75">
        <f>SUMPRODUCT(COUNTIFS(PROGRAM_DIRECTORY!$A$2:$A$334, $N109:$AB109, PROGRAM_DIRECTORY!$D$2:$D$334, "Non-Stage", PROGRAM_DIRECTORY!$E$2:$E$334, "Individual"))</f>
        <v>0</v>
      </c>
      <c r="H109" s="75">
        <f>SUMPRODUCT(COUNTIFS(PROGRAM_DIRECTORY!$A$2:$A$334, $N109:$AB109, PROGRAM_DIRECTORY!$D$2:$D$334, "Stage", PROGRAM_DIRECTORY!$E$2:$E$334, "Individual"))</f>
        <v>0</v>
      </c>
      <c r="I109" s="75">
        <f>SUMPRODUCT(COUNTIFS(PROGRAM_DIRECTORY!$A$2:$A$334, $N109:$AB109, PROGRAM_DIRECTORY!$D$2:$D$334, "Sports"))</f>
        <v>0</v>
      </c>
      <c r="J109" s="75">
        <f>SUMPRODUCT(COUNTIFS(PROGRAM_DIRECTORY!$A$2:$A$334, $N109:$AB109, PROGRAM_DIRECTORY!$E$2:$E$334, "Individual"))</f>
        <v>0</v>
      </c>
      <c r="K109" s="75">
        <f>SUMPRODUCT(COUNTIFS(PROGRAM_DIRECTORY!$A$2:$A$334, $N109:$AB109, PROGRAM_DIRECTORY!$E$2:$E$334, "Group"))</f>
        <v>0</v>
      </c>
      <c r="L109" s="75">
        <f t="shared" si="1"/>
        <v>0</v>
      </c>
      <c r="M109" s="75" t="str">
        <f t="shared" si="2"/>
        <v>Min 1 Required (Stage &amp; Non-Stage)</v>
      </c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AC109" s="79" t="str">
        <f t="shared" si="3"/>
        <v/>
      </c>
    </row>
    <row r="110">
      <c r="A110" s="74">
        <v>448.0</v>
      </c>
      <c r="B110" s="74" t="s">
        <v>764</v>
      </c>
      <c r="C110" s="74">
        <v>7.0</v>
      </c>
      <c r="D110" s="74" t="s">
        <v>7</v>
      </c>
      <c r="E110" s="74" t="s">
        <v>331</v>
      </c>
      <c r="F110" s="74" t="s">
        <v>622</v>
      </c>
      <c r="G110" s="75">
        <f>SUMPRODUCT(COUNTIFS(PROGRAM_DIRECTORY!$A$2:$A$334, $N110:$AB110, PROGRAM_DIRECTORY!$D$2:$D$334, "Non-Stage", PROGRAM_DIRECTORY!$E$2:$E$334, "Individual"))</f>
        <v>0</v>
      </c>
      <c r="H110" s="75">
        <f>SUMPRODUCT(COUNTIFS(PROGRAM_DIRECTORY!$A$2:$A$334, $N110:$AB110, PROGRAM_DIRECTORY!$D$2:$D$334, "Stage", PROGRAM_DIRECTORY!$E$2:$E$334, "Individual"))</f>
        <v>0</v>
      </c>
      <c r="I110" s="75">
        <f>SUMPRODUCT(COUNTIFS(PROGRAM_DIRECTORY!$A$2:$A$334, $N110:$AB110, PROGRAM_DIRECTORY!$D$2:$D$334, "Sports"))</f>
        <v>0</v>
      </c>
      <c r="J110" s="75">
        <f>SUMPRODUCT(COUNTIFS(PROGRAM_DIRECTORY!$A$2:$A$334, $N110:$AB110, PROGRAM_DIRECTORY!$E$2:$E$334, "Individual"))</f>
        <v>0</v>
      </c>
      <c r="K110" s="75">
        <f>SUMPRODUCT(COUNTIFS(PROGRAM_DIRECTORY!$A$2:$A$334, $N110:$AB110, PROGRAM_DIRECTORY!$E$2:$E$334, "Group"))</f>
        <v>0</v>
      </c>
      <c r="L110" s="75">
        <f t="shared" si="1"/>
        <v>0</v>
      </c>
      <c r="M110" s="75" t="str">
        <f t="shared" si="2"/>
        <v>Min 1 Required (Stage &amp; Non-Stage)</v>
      </c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AC110" s="79" t="str">
        <f t="shared" si="3"/>
        <v/>
      </c>
    </row>
    <row r="111">
      <c r="A111" s="74">
        <v>449.0</v>
      </c>
      <c r="B111" s="74" t="s">
        <v>765</v>
      </c>
      <c r="C111" s="74">
        <v>7.0</v>
      </c>
      <c r="D111" s="74" t="s">
        <v>7</v>
      </c>
      <c r="E111" s="74" t="s">
        <v>195</v>
      </c>
      <c r="F111" s="74" t="s">
        <v>622</v>
      </c>
      <c r="G111" s="75">
        <f>SUMPRODUCT(COUNTIFS(PROGRAM_DIRECTORY!$A$2:$A$334, $N111:$AB111, PROGRAM_DIRECTORY!$D$2:$D$334, "Non-Stage", PROGRAM_DIRECTORY!$E$2:$E$334, "Individual"))</f>
        <v>0</v>
      </c>
      <c r="H111" s="75">
        <f>SUMPRODUCT(COUNTIFS(PROGRAM_DIRECTORY!$A$2:$A$334, $N111:$AB111, PROGRAM_DIRECTORY!$D$2:$D$334, "Stage", PROGRAM_DIRECTORY!$E$2:$E$334, "Individual"))</f>
        <v>0</v>
      </c>
      <c r="I111" s="75">
        <f>SUMPRODUCT(COUNTIFS(PROGRAM_DIRECTORY!$A$2:$A$334, $N111:$AB111, PROGRAM_DIRECTORY!$D$2:$D$334, "Sports"))</f>
        <v>0</v>
      </c>
      <c r="J111" s="75">
        <f>SUMPRODUCT(COUNTIFS(PROGRAM_DIRECTORY!$A$2:$A$334, $N111:$AB111, PROGRAM_DIRECTORY!$E$2:$E$334, "Individual"))</f>
        <v>0</v>
      </c>
      <c r="K111" s="75">
        <f>SUMPRODUCT(COUNTIFS(PROGRAM_DIRECTORY!$A$2:$A$334, $N111:$AB111, PROGRAM_DIRECTORY!$E$2:$E$334, "Group"))</f>
        <v>0</v>
      </c>
      <c r="L111" s="75">
        <f t="shared" si="1"/>
        <v>0</v>
      </c>
      <c r="M111" s="75" t="str">
        <f t="shared" si="2"/>
        <v>Min 1 Required (Stage &amp; Non-Stage)</v>
      </c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AC111" s="79" t="str">
        <f t="shared" si="3"/>
        <v/>
      </c>
    </row>
    <row r="112">
      <c r="A112" s="74">
        <v>450.0</v>
      </c>
      <c r="B112" s="74" t="s">
        <v>766</v>
      </c>
      <c r="C112" s="74">
        <v>7.0</v>
      </c>
      <c r="D112" s="74" t="s">
        <v>7</v>
      </c>
      <c r="E112" s="74" t="s">
        <v>331</v>
      </c>
      <c r="F112" s="74" t="s">
        <v>622</v>
      </c>
      <c r="G112" s="75">
        <f>SUMPRODUCT(COUNTIFS(PROGRAM_DIRECTORY!$A$2:$A$334, $N112:$AB112, PROGRAM_DIRECTORY!$D$2:$D$334, "Non-Stage", PROGRAM_DIRECTORY!$E$2:$E$334, "Individual"))</f>
        <v>0</v>
      </c>
      <c r="H112" s="75">
        <f>SUMPRODUCT(COUNTIFS(PROGRAM_DIRECTORY!$A$2:$A$334, $N112:$AB112, PROGRAM_DIRECTORY!$D$2:$D$334, "Stage", PROGRAM_DIRECTORY!$E$2:$E$334, "Individual"))</f>
        <v>0</v>
      </c>
      <c r="I112" s="75">
        <f>SUMPRODUCT(COUNTIFS(PROGRAM_DIRECTORY!$A$2:$A$334, $N112:$AB112, PROGRAM_DIRECTORY!$D$2:$D$334, "Sports"))</f>
        <v>0</v>
      </c>
      <c r="J112" s="75">
        <f>SUMPRODUCT(COUNTIFS(PROGRAM_DIRECTORY!$A$2:$A$334, $N112:$AB112, PROGRAM_DIRECTORY!$E$2:$E$334, "Individual"))</f>
        <v>0</v>
      </c>
      <c r="K112" s="75">
        <f>SUMPRODUCT(COUNTIFS(PROGRAM_DIRECTORY!$A$2:$A$334, $N112:$AB112, PROGRAM_DIRECTORY!$E$2:$E$334, "Group"))</f>
        <v>0</v>
      </c>
      <c r="L112" s="75">
        <f t="shared" si="1"/>
        <v>0</v>
      </c>
      <c r="M112" s="75" t="str">
        <f t="shared" si="2"/>
        <v>Min 1 Required (Stage &amp; Non-Stage)</v>
      </c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AC112" s="79" t="str">
        <f t="shared" si="3"/>
        <v/>
      </c>
    </row>
    <row r="113">
      <c r="A113" s="74">
        <v>458.0</v>
      </c>
      <c r="B113" s="74" t="s">
        <v>767</v>
      </c>
      <c r="C113" s="74">
        <v>7.0</v>
      </c>
      <c r="D113" s="74" t="s">
        <v>7</v>
      </c>
      <c r="E113" s="74" t="s">
        <v>450</v>
      </c>
      <c r="F113" s="74" t="s">
        <v>622</v>
      </c>
      <c r="G113" s="75">
        <f>SUMPRODUCT(COUNTIFS(PROGRAM_DIRECTORY!$A$2:$A$334, $N113:$AB113, PROGRAM_DIRECTORY!$D$2:$D$334, "Non-Stage", PROGRAM_DIRECTORY!$E$2:$E$334, "Individual"))</f>
        <v>0</v>
      </c>
      <c r="H113" s="75">
        <f>SUMPRODUCT(COUNTIFS(PROGRAM_DIRECTORY!$A$2:$A$334, $N113:$AB113, PROGRAM_DIRECTORY!$D$2:$D$334, "Stage", PROGRAM_DIRECTORY!$E$2:$E$334, "Individual"))</f>
        <v>0</v>
      </c>
      <c r="I113" s="75">
        <f>SUMPRODUCT(COUNTIFS(PROGRAM_DIRECTORY!$A$2:$A$334, $N113:$AB113, PROGRAM_DIRECTORY!$D$2:$D$334, "Sports"))</f>
        <v>0</v>
      </c>
      <c r="J113" s="75">
        <f>SUMPRODUCT(COUNTIFS(PROGRAM_DIRECTORY!$A$2:$A$334, $N113:$AB113, PROGRAM_DIRECTORY!$E$2:$E$334, "Individual"))</f>
        <v>0</v>
      </c>
      <c r="K113" s="75">
        <f>SUMPRODUCT(COUNTIFS(PROGRAM_DIRECTORY!$A$2:$A$334, $N113:$AB113, PROGRAM_DIRECTORY!$E$2:$E$334, "Group"))</f>
        <v>0</v>
      </c>
      <c r="L113" s="75">
        <f t="shared" si="1"/>
        <v>0</v>
      </c>
      <c r="M113" s="75" t="str">
        <f t="shared" si="2"/>
        <v>Min 1 Required (Stage &amp; Non-Stage)</v>
      </c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AC113" s="79" t="str">
        <f t="shared" si="3"/>
        <v/>
      </c>
    </row>
    <row r="114">
      <c r="A114" s="74">
        <v>206.0</v>
      </c>
      <c r="B114" s="74" t="s">
        <v>768</v>
      </c>
      <c r="C114" s="74">
        <v>6.0</v>
      </c>
      <c r="D114" s="74" t="s">
        <v>7</v>
      </c>
      <c r="E114" s="74" t="s">
        <v>331</v>
      </c>
      <c r="F114" s="74" t="s">
        <v>622</v>
      </c>
      <c r="G114" s="75">
        <f>SUMPRODUCT(COUNTIFS(PROGRAM_DIRECTORY!$A$2:$A$334, $N114:$AB114, PROGRAM_DIRECTORY!$D$2:$D$334, "Non-Stage", PROGRAM_DIRECTORY!$E$2:$E$334, "Individual"))</f>
        <v>0</v>
      </c>
      <c r="H114" s="75">
        <f>SUMPRODUCT(COUNTIFS(PROGRAM_DIRECTORY!$A$2:$A$334, $N114:$AB114, PROGRAM_DIRECTORY!$D$2:$D$334, "Stage", PROGRAM_DIRECTORY!$E$2:$E$334, "Individual"))</f>
        <v>0</v>
      </c>
      <c r="I114" s="75">
        <f>SUMPRODUCT(COUNTIFS(PROGRAM_DIRECTORY!$A$2:$A$334, $N114:$AB114, PROGRAM_DIRECTORY!$D$2:$D$334, "Sports"))</f>
        <v>0</v>
      </c>
      <c r="J114" s="75">
        <f>SUMPRODUCT(COUNTIFS(PROGRAM_DIRECTORY!$A$2:$A$334, $N114:$AB114, PROGRAM_DIRECTORY!$E$2:$E$334, "Individual"))</f>
        <v>0</v>
      </c>
      <c r="K114" s="75">
        <f>SUMPRODUCT(COUNTIFS(PROGRAM_DIRECTORY!$A$2:$A$334, $N114:$AB114, PROGRAM_DIRECTORY!$E$2:$E$334, "Group"))</f>
        <v>0</v>
      </c>
      <c r="L114" s="75">
        <f t="shared" si="1"/>
        <v>0</v>
      </c>
      <c r="M114" s="75" t="str">
        <f t="shared" si="2"/>
        <v>Min 1 Required (Stage &amp; Non-Stage)</v>
      </c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AC114" s="79" t="str">
        <f t="shared" si="3"/>
        <v/>
      </c>
    </row>
    <row r="115">
      <c r="A115" s="74">
        <v>225.0</v>
      </c>
      <c r="B115" s="74" t="s">
        <v>769</v>
      </c>
      <c r="C115" s="74">
        <v>6.0</v>
      </c>
      <c r="D115" s="74" t="s">
        <v>7</v>
      </c>
      <c r="E115" s="74" t="s">
        <v>331</v>
      </c>
      <c r="F115" s="74" t="s">
        <v>622</v>
      </c>
      <c r="G115" s="75">
        <f>SUMPRODUCT(COUNTIFS(PROGRAM_DIRECTORY!$A$2:$A$334, $N115:$AB115, PROGRAM_DIRECTORY!$D$2:$D$334, "Non-Stage", PROGRAM_DIRECTORY!$E$2:$E$334, "Individual"))</f>
        <v>0</v>
      </c>
      <c r="H115" s="75">
        <f>SUMPRODUCT(COUNTIFS(PROGRAM_DIRECTORY!$A$2:$A$334, $N115:$AB115, PROGRAM_DIRECTORY!$D$2:$D$334, "Stage", PROGRAM_DIRECTORY!$E$2:$E$334, "Individual"))</f>
        <v>0</v>
      </c>
      <c r="I115" s="75">
        <f>SUMPRODUCT(COUNTIFS(PROGRAM_DIRECTORY!$A$2:$A$334, $N115:$AB115, PROGRAM_DIRECTORY!$D$2:$D$334, "Sports"))</f>
        <v>0</v>
      </c>
      <c r="J115" s="75">
        <f>SUMPRODUCT(COUNTIFS(PROGRAM_DIRECTORY!$A$2:$A$334, $N115:$AB115, PROGRAM_DIRECTORY!$E$2:$E$334, "Individual"))</f>
        <v>0</v>
      </c>
      <c r="K115" s="75">
        <f>SUMPRODUCT(COUNTIFS(PROGRAM_DIRECTORY!$A$2:$A$334, $N115:$AB115, PROGRAM_DIRECTORY!$E$2:$E$334, "Group"))</f>
        <v>0</v>
      </c>
      <c r="L115" s="75">
        <f t="shared" si="1"/>
        <v>0</v>
      </c>
      <c r="M115" s="75" t="str">
        <f t="shared" si="2"/>
        <v>Min 1 Required (Stage &amp; Non-Stage)</v>
      </c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AC115" s="79" t="str">
        <f t="shared" si="3"/>
        <v/>
      </c>
    </row>
    <row r="116">
      <c r="A116" s="74">
        <v>223.0</v>
      </c>
      <c r="B116" s="74" t="s">
        <v>770</v>
      </c>
      <c r="C116" s="74">
        <v>6.0</v>
      </c>
      <c r="D116" s="74" t="s">
        <v>7</v>
      </c>
      <c r="E116" s="74" t="s">
        <v>450</v>
      </c>
      <c r="F116" s="74" t="s">
        <v>622</v>
      </c>
      <c r="G116" s="75">
        <f>SUMPRODUCT(COUNTIFS(PROGRAM_DIRECTORY!$A$2:$A$334, $N116:$AB116, PROGRAM_DIRECTORY!$D$2:$D$334, "Non-Stage", PROGRAM_DIRECTORY!$E$2:$E$334, "Individual"))</f>
        <v>0</v>
      </c>
      <c r="H116" s="75">
        <f>SUMPRODUCT(COUNTIFS(PROGRAM_DIRECTORY!$A$2:$A$334, $N116:$AB116, PROGRAM_DIRECTORY!$D$2:$D$334, "Stage", PROGRAM_DIRECTORY!$E$2:$E$334, "Individual"))</f>
        <v>0</v>
      </c>
      <c r="I116" s="75">
        <f>SUMPRODUCT(COUNTIFS(PROGRAM_DIRECTORY!$A$2:$A$334, $N116:$AB116, PROGRAM_DIRECTORY!$D$2:$D$334, "Sports"))</f>
        <v>0</v>
      </c>
      <c r="J116" s="75">
        <f>SUMPRODUCT(COUNTIFS(PROGRAM_DIRECTORY!$A$2:$A$334, $N116:$AB116, PROGRAM_DIRECTORY!$E$2:$E$334, "Individual"))</f>
        <v>0</v>
      </c>
      <c r="K116" s="75">
        <f>SUMPRODUCT(COUNTIFS(PROGRAM_DIRECTORY!$A$2:$A$334, $N116:$AB116, PROGRAM_DIRECTORY!$E$2:$E$334, "Group"))</f>
        <v>0</v>
      </c>
      <c r="L116" s="75">
        <f t="shared" si="1"/>
        <v>0</v>
      </c>
      <c r="M116" s="75" t="str">
        <f t="shared" si="2"/>
        <v>Min 1 Required (Stage &amp; Non-Stage)</v>
      </c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AC116" s="79" t="str">
        <f t="shared" si="3"/>
        <v/>
      </c>
    </row>
    <row r="117">
      <c r="A117" s="74">
        <v>240.0</v>
      </c>
      <c r="B117" s="74" t="s">
        <v>771</v>
      </c>
      <c r="C117" s="74">
        <v>6.0</v>
      </c>
      <c r="D117" s="74" t="s">
        <v>7</v>
      </c>
      <c r="E117" s="74" t="s">
        <v>195</v>
      </c>
      <c r="F117" s="74" t="s">
        <v>622</v>
      </c>
      <c r="G117" s="75">
        <f>SUMPRODUCT(COUNTIFS(PROGRAM_DIRECTORY!$A$2:$A$334, $N117:$AB117, PROGRAM_DIRECTORY!$D$2:$D$334, "Non-Stage", PROGRAM_DIRECTORY!$E$2:$E$334, "Individual"))</f>
        <v>0</v>
      </c>
      <c r="H117" s="75">
        <f>SUMPRODUCT(COUNTIFS(PROGRAM_DIRECTORY!$A$2:$A$334, $N117:$AB117, PROGRAM_DIRECTORY!$D$2:$D$334, "Stage", PROGRAM_DIRECTORY!$E$2:$E$334, "Individual"))</f>
        <v>0</v>
      </c>
      <c r="I117" s="75">
        <f>SUMPRODUCT(COUNTIFS(PROGRAM_DIRECTORY!$A$2:$A$334, $N117:$AB117, PROGRAM_DIRECTORY!$D$2:$D$334, "Sports"))</f>
        <v>0</v>
      </c>
      <c r="J117" s="75">
        <f>SUMPRODUCT(COUNTIFS(PROGRAM_DIRECTORY!$A$2:$A$334, $N117:$AB117, PROGRAM_DIRECTORY!$E$2:$E$334, "Individual"))</f>
        <v>0</v>
      </c>
      <c r="K117" s="75">
        <f>SUMPRODUCT(COUNTIFS(PROGRAM_DIRECTORY!$A$2:$A$334, $N117:$AB117, PROGRAM_DIRECTORY!$E$2:$E$334, "Group"))</f>
        <v>0</v>
      </c>
      <c r="L117" s="75">
        <f t="shared" si="1"/>
        <v>0</v>
      </c>
      <c r="M117" s="75" t="str">
        <f t="shared" si="2"/>
        <v>Min 1 Required (Stage &amp; Non-Stage)</v>
      </c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AC117" s="79" t="str">
        <f t="shared" si="3"/>
        <v/>
      </c>
    </row>
    <row r="118">
      <c r="A118" s="74">
        <v>212.0</v>
      </c>
      <c r="B118" s="74" t="s">
        <v>772</v>
      </c>
      <c r="C118" s="74">
        <v>6.0</v>
      </c>
      <c r="D118" s="74" t="s">
        <v>7</v>
      </c>
      <c r="E118" s="74" t="s">
        <v>195</v>
      </c>
      <c r="F118" s="74" t="s">
        <v>622</v>
      </c>
      <c r="G118" s="75">
        <f>SUMPRODUCT(COUNTIFS(PROGRAM_DIRECTORY!$A$2:$A$334, $N118:$AB118, PROGRAM_DIRECTORY!$D$2:$D$334, "Non-Stage", PROGRAM_DIRECTORY!$E$2:$E$334, "Individual"))</f>
        <v>0</v>
      </c>
      <c r="H118" s="75">
        <f>SUMPRODUCT(COUNTIFS(PROGRAM_DIRECTORY!$A$2:$A$334, $N118:$AB118, PROGRAM_DIRECTORY!$D$2:$D$334, "Stage", PROGRAM_DIRECTORY!$E$2:$E$334, "Individual"))</f>
        <v>0</v>
      </c>
      <c r="I118" s="75">
        <f>SUMPRODUCT(COUNTIFS(PROGRAM_DIRECTORY!$A$2:$A$334, $N118:$AB118, PROGRAM_DIRECTORY!$D$2:$D$334, "Sports"))</f>
        <v>0</v>
      </c>
      <c r="J118" s="75">
        <f>SUMPRODUCT(COUNTIFS(PROGRAM_DIRECTORY!$A$2:$A$334, $N118:$AB118, PROGRAM_DIRECTORY!$E$2:$E$334, "Individual"))</f>
        <v>0</v>
      </c>
      <c r="K118" s="75">
        <f>SUMPRODUCT(COUNTIFS(PROGRAM_DIRECTORY!$A$2:$A$334, $N118:$AB118, PROGRAM_DIRECTORY!$E$2:$E$334, "Group"))</f>
        <v>0</v>
      </c>
      <c r="L118" s="75">
        <f t="shared" si="1"/>
        <v>0</v>
      </c>
      <c r="M118" s="75" t="str">
        <f t="shared" si="2"/>
        <v>Min 1 Required (Stage &amp; Non-Stage)</v>
      </c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AC118" s="79" t="str">
        <f t="shared" si="3"/>
        <v/>
      </c>
    </row>
    <row r="119">
      <c r="A119" s="74">
        <v>221.0</v>
      </c>
      <c r="B119" s="74" t="s">
        <v>773</v>
      </c>
      <c r="C119" s="74">
        <v>6.0</v>
      </c>
      <c r="D119" s="74" t="s">
        <v>7</v>
      </c>
      <c r="E119" s="74" t="s">
        <v>380</v>
      </c>
      <c r="F119" s="74" t="s">
        <v>622</v>
      </c>
      <c r="G119" s="75">
        <f>SUMPRODUCT(COUNTIFS(PROGRAM_DIRECTORY!$A$2:$A$334, $N119:$AB119, PROGRAM_DIRECTORY!$D$2:$D$334, "Non-Stage", PROGRAM_DIRECTORY!$E$2:$E$334, "Individual"))</f>
        <v>0</v>
      </c>
      <c r="H119" s="75">
        <f>SUMPRODUCT(COUNTIFS(PROGRAM_DIRECTORY!$A$2:$A$334, $N119:$AB119, PROGRAM_DIRECTORY!$D$2:$D$334, "Stage", PROGRAM_DIRECTORY!$E$2:$E$334, "Individual"))</f>
        <v>0</v>
      </c>
      <c r="I119" s="75">
        <f>SUMPRODUCT(COUNTIFS(PROGRAM_DIRECTORY!$A$2:$A$334, $N119:$AB119, PROGRAM_DIRECTORY!$D$2:$D$334, "Sports"))</f>
        <v>0</v>
      </c>
      <c r="J119" s="75">
        <f>SUMPRODUCT(COUNTIFS(PROGRAM_DIRECTORY!$A$2:$A$334, $N119:$AB119, PROGRAM_DIRECTORY!$E$2:$E$334, "Individual"))</f>
        <v>0</v>
      </c>
      <c r="K119" s="75">
        <f>SUMPRODUCT(COUNTIFS(PROGRAM_DIRECTORY!$A$2:$A$334, $N119:$AB119, PROGRAM_DIRECTORY!$E$2:$E$334, "Group"))</f>
        <v>0</v>
      </c>
      <c r="L119" s="75">
        <f t="shared" si="1"/>
        <v>0</v>
      </c>
      <c r="M119" s="75" t="str">
        <f t="shared" si="2"/>
        <v>Min 1 Required (Stage &amp; Non-Stage)</v>
      </c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AC119" s="79" t="str">
        <f t="shared" si="3"/>
        <v/>
      </c>
    </row>
    <row r="120">
      <c r="A120" s="74">
        <v>209.0</v>
      </c>
      <c r="B120" s="74" t="s">
        <v>774</v>
      </c>
      <c r="C120" s="74">
        <v>6.0</v>
      </c>
      <c r="D120" s="74" t="s">
        <v>7</v>
      </c>
      <c r="E120" s="74" t="s">
        <v>380</v>
      </c>
      <c r="F120" s="74" t="s">
        <v>622</v>
      </c>
      <c r="G120" s="75">
        <f>SUMPRODUCT(COUNTIFS(PROGRAM_DIRECTORY!$A$2:$A$334, $N120:$AB120, PROGRAM_DIRECTORY!$D$2:$D$334, "Non-Stage", PROGRAM_DIRECTORY!$E$2:$E$334, "Individual"))</f>
        <v>0</v>
      </c>
      <c r="H120" s="75">
        <f>SUMPRODUCT(COUNTIFS(PROGRAM_DIRECTORY!$A$2:$A$334, $N120:$AB120, PROGRAM_DIRECTORY!$D$2:$D$334, "Stage", PROGRAM_DIRECTORY!$E$2:$E$334, "Individual"))</f>
        <v>0</v>
      </c>
      <c r="I120" s="75">
        <f>SUMPRODUCT(COUNTIFS(PROGRAM_DIRECTORY!$A$2:$A$334, $N120:$AB120, PROGRAM_DIRECTORY!$D$2:$D$334, "Sports"))</f>
        <v>0</v>
      </c>
      <c r="J120" s="75">
        <f>SUMPRODUCT(COUNTIFS(PROGRAM_DIRECTORY!$A$2:$A$334, $N120:$AB120, PROGRAM_DIRECTORY!$E$2:$E$334, "Individual"))</f>
        <v>0</v>
      </c>
      <c r="K120" s="75">
        <f>SUMPRODUCT(COUNTIFS(PROGRAM_DIRECTORY!$A$2:$A$334, $N120:$AB120, PROGRAM_DIRECTORY!$E$2:$E$334, "Group"))</f>
        <v>0</v>
      </c>
      <c r="L120" s="75">
        <f t="shared" si="1"/>
        <v>0</v>
      </c>
      <c r="M120" s="75" t="str">
        <f t="shared" si="2"/>
        <v>Min 1 Required (Stage &amp; Non-Stage)</v>
      </c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AC120" s="79" t="str">
        <f t="shared" si="3"/>
        <v/>
      </c>
    </row>
    <row r="121">
      <c r="A121" s="74">
        <v>210.0</v>
      </c>
      <c r="B121" s="74" t="s">
        <v>775</v>
      </c>
      <c r="C121" s="74">
        <v>6.0</v>
      </c>
      <c r="D121" s="74" t="s">
        <v>7</v>
      </c>
      <c r="E121" s="74" t="s">
        <v>380</v>
      </c>
      <c r="F121" s="74" t="s">
        <v>622</v>
      </c>
      <c r="G121" s="75">
        <f>SUMPRODUCT(COUNTIFS(PROGRAM_DIRECTORY!$A$2:$A$334, $N121:$AB121, PROGRAM_DIRECTORY!$D$2:$D$334, "Non-Stage", PROGRAM_DIRECTORY!$E$2:$E$334, "Individual"))</f>
        <v>0</v>
      </c>
      <c r="H121" s="75">
        <f>SUMPRODUCT(COUNTIFS(PROGRAM_DIRECTORY!$A$2:$A$334, $N121:$AB121, PROGRAM_DIRECTORY!$D$2:$D$334, "Stage", PROGRAM_DIRECTORY!$E$2:$E$334, "Individual"))</f>
        <v>0</v>
      </c>
      <c r="I121" s="75">
        <f>SUMPRODUCT(COUNTIFS(PROGRAM_DIRECTORY!$A$2:$A$334, $N121:$AB121, PROGRAM_DIRECTORY!$D$2:$D$334, "Sports"))</f>
        <v>0</v>
      </c>
      <c r="J121" s="75">
        <f>SUMPRODUCT(COUNTIFS(PROGRAM_DIRECTORY!$A$2:$A$334, $N121:$AB121, PROGRAM_DIRECTORY!$E$2:$E$334, "Individual"))</f>
        <v>0</v>
      </c>
      <c r="K121" s="75">
        <f>SUMPRODUCT(COUNTIFS(PROGRAM_DIRECTORY!$A$2:$A$334, $N121:$AB121, PROGRAM_DIRECTORY!$E$2:$E$334, "Group"))</f>
        <v>0</v>
      </c>
      <c r="L121" s="75">
        <f t="shared" si="1"/>
        <v>0</v>
      </c>
      <c r="M121" s="75" t="str">
        <f t="shared" si="2"/>
        <v>Min 1 Required (Stage &amp; Non-Stage)</v>
      </c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AC121" s="79" t="str">
        <f t="shared" si="3"/>
        <v/>
      </c>
    </row>
    <row r="122">
      <c r="A122" s="74">
        <v>211.0</v>
      </c>
      <c r="B122" s="74" t="s">
        <v>776</v>
      </c>
      <c r="C122" s="74">
        <v>6.0</v>
      </c>
      <c r="D122" s="74" t="s">
        <v>7</v>
      </c>
      <c r="E122" s="74" t="s">
        <v>380</v>
      </c>
      <c r="F122" s="74" t="s">
        <v>622</v>
      </c>
      <c r="G122" s="75">
        <f>SUMPRODUCT(COUNTIFS(PROGRAM_DIRECTORY!$A$2:$A$334, $N122:$AB122, PROGRAM_DIRECTORY!$D$2:$D$334, "Non-Stage", PROGRAM_DIRECTORY!$E$2:$E$334, "Individual"))</f>
        <v>0</v>
      </c>
      <c r="H122" s="75">
        <f>SUMPRODUCT(COUNTIFS(PROGRAM_DIRECTORY!$A$2:$A$334, $N122:$AB122, PROGRAM_DIRECTORY!$D$2:$D$334, "Stage", PROGRAM_DIRECTORY!$E$2:$E$334, "Individual"))</f>
        <v>0</v>
      </c>
      <c r="I122" s="75">
        <f>SUMPRODUCT(COUNTIFS(PROGRAM_DIRECTORY!$A$2:$A$334, $N122:$AB122, PROGRAM_DIRECTORY!$D$2:$D$334, "Sports"))</f>
        <v>0</v>
      </c>
      <c r="J122" s="75">
        <f>SUMPRODUCT(COUNTIFS(PROGRAM_DIRECTORY!$A$2:$A$334, $N122:$AB122, PROGRAM_DIRECTORY!$E$2:$E$334, "Individual"))</f>
        <v>0</v>
      </c>
      <c r="K122" s="75">
        <f>SUMPRODUCT(COUNTIFS(PROGRAM_DIRECTORY!$A$2:$A$334, $N122:$AB122, PROGRAM_DIRECTORY!$E$2:$E$334, "Group"))</f>
        <v>0</v>
      </c>
      <c r="L122" s="75">
        <f t="shared" si="1"/>
        <v>0</v>
      </c>
      <c r="M122" s="75" t="str">
        <f t="shared" si="2"/>
        <v>Min 1 Required (Stage &amp; Non-Stage)</v>
      </c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AC122" s="79" t="str">
        <f t="shared" si="3"/>
        <v/>
      </c>
    </row>
    <row r="123">
      <c r="A123" s="74">
        <v>234.0</v>
      </c>
      <c r="B123" s="74" t="s">
        <v>777</v>
      </c>
      <c r="C123" s="74">
        <v>6.0</v>
      </c>
      <c r="D123" s="74" t="s">
        <v>7</v>
      </c>
      <c r="E123" s="74" t="s">
        <v>331</v>
      </c>
      <c r="F123" s="74" t="s">
        <v>622</v>
      </c>
      <c r="G123" s="75">
        <f>SUMPRODUCT(COUNTIFS(PROGRAM_DIRECTORY!$A$2:$A$334, $N123:$AB123, PROGRAM_DIRECTORY!$D$2:$D$334, "Non-Stage", PROGRAM_DIRECTORY!$E$2:$E$334, "Individual"))</f>
        <v>0</v>
      </c>
      <c r="H123" s="75">
        <f>SUMPRODUCT(COUNTIFS(PROGRAM_DIRECTORY!$A$2:$A$334, $N123:$AB123, PROGRAM_DIRECTORY!$D$2:$D$334, "Stage", PROGRAM_DIRECTORY!$E$2:$E$334, "Individual"))</f>
        <v>0</v>
      </c>
      <c r="I123" s="75">
        <f>SUMPRODUCT(COUNTIFS(PROGRAM_DIRECTORY!$A$2:$A$334, $N123:$AB123, PROGRAM_DIRECTORY!$D$2:$D$334, "Sports"))</f>
        <v>0</v>
      </c>
      <c r="J123" s="75">
        <f>SUMPRODUCT(COUNTIFS(PROGRAM_DIRECTORY!$A$2:$A$334, $N123:$AB123, PROGRAM_DIRECTORY!$E$2:$E$334, "Individual"))</f>
        <v>0</v>
      </c>
      <c r="K123" s="75">
        <f>SUMPRODUCT(COUNTIFS(PROGRAM_DIRECTORY!$A$2:$A$334, $N123:$AB123, PROGRAM_DIRECTORY!$E$2:$E$334, "Group"))</f>
        <v>0</v>
      </c>
      <c r="L123" s="75">
        <f t="shared" si="1"/>
        <v>0</v>
      </c>
      <c r="M123" s="75" t="str">
        <f t="shared" si="2"/>
        <v>Min 1 Required (Stage &amp; Non-Stage)</v>
      </c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AC123" s="79" t="str">
        <f t="shared" si="3"/>
        <v/>
      </c>
    </row>
    <row r="124">
      <c r="A124" s="74">
        <v>245.0</v>
      </c>
      <c r="B124" s="74" t="s">
        <v>778</v>
      </c>
      <c r="C124" s="74">
        <v>6.0</v>
      </c>
      <c r="D124" s="74" t="s">
        <v>7</v>
      </c>
      <c r="E124" s="74" t="s">
        <v>331</v>
      </c>
      <c r="F124" s="74" t="s">
        <v>622</v>
      </c>
      <c r="G124" s="75">
        <f>SUMPRODUCT(COUNTIFS(PROGRAM_DIRECTORY!$A$2:$A$334, $N124:$AB124, PROGRAM_DIRECTORY!$D$2:$D$334, "Non-Stage", PROGRAM_DIRECTORY!$E$2:$E$334, "Individual"))</f>
        <v>0</v>
      </c>
      <c r="H124" s="75">
        <f>SUMPRODUCT(COUNTIFS(PROGRAM_DIRECTORY!$A$2:$A$334, $N124:$AB124, PROGRAM_DIRECTORY!$D$2:$D$334, "Stage", PROGRAM_DIRECTORY!$E$2:$E$334, "Individual"))</f>
        <v>0</v>
      </c>
      <c r="I124" s="75">
        <f>SUMPRODUCT(COUNTIFS(PROGRAM_DIRECTORY!$A$2:$A$334, $N124:$AB124, PROGRAM_DIRECTORY!$D$2:$D$334, "Sports"))</f>
        <v>0</v>
      </c>
      <c r="J124" s="75">
        <f>SUMPRODUCT(COUNTIFS(PROGRAM_DIRECTORY!$A$2:$A$334, $N124:$AB124, PROGRAM_DIRECTORY!$E$2:$E$334, "Individual"))</f>
        <v>0</v>
      </c>
      <c r="K124" s="75">
        <f>SUMPRODUCT(COUNTIFS(PROGRAM_DIRECTORY!$A$2:$A$334, $N124:$AB124, PROGRAM_DIRECTORY!$E$2:$E$334, "Group"))</f>
        <v>0</v>
      </c>
      <c r="L124" s="75">
        <f t="shared" si="1"/>
        <v>0</v>
      </c>
      <c r="M124" s="75" t="str">
        <f t="shared" si="2"/>
        <v>Min 1 Required (Stage &amp; Non-Stage)</v>
      </c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AC124" s="79" t="str">
        <f t="shared" si="3"/>
        <v/>
      </c>
    </row>
    <row r="125">
      <c r="A125" s="74">
        <v>228.0</v>
      </c>
      <c r="B125" s="74" t="s">
        <v>779</v>
      </c>
      <c r="C125" s="74">
        <v>6.0</v>
      </c>
      <c r="D125" s="74" t="s">
        <v>7</v>
      </c>
      <c r="E125" s="74" t="s">
        <v>450</v>
      </c>
      <c r="F125" s="74" t="s">
        <v>622</v>
      </c>
      <c r="G125" s="75">
        <f>SUMPRODUCT(COUNTIFS(PROGRAM_DIRECTORY!$A$2:$A$334, $N125:$AB125, PROGRAM_DIRECTORY!$D$2:$D$334, "Non-Stage", PROGRAM_DIRECTORY!$E$2:$E$334, "Individual"))</f>
        <v>0</v>
      </c>
      <c r="H125" s="75">
        <f>SUMPRODUCT(COUNTIFS(PROGRAM_DIRECTORY!$A$2:$A$334, $N125:$AB125, PROGRAM_DIRECTORY!$D$2:$D$334, "Stage", PROGRAM_DIRECTORY!$E$2:$E$334, "Individual"))</f>
        <v>0</v>
      </c>
      <c r="I125" s="75">
        <f>SUMPRODUCT(COUNTIFS(PROGRAM_DIRECTORY!$A$2:$A$334, $N125:$AB125, PROGRAM_DIRECTORY!$D$2:$D$334, "Sports"))</f>
        <v>0</v>
      </c>
      <c r="J125" s="75">
        <f>SUMPRODUCT(COUNTIFS(PROGRAM_DIRECTORY!$A$2:$A$334, $N125:$AB125, PROGRAM_DIRECTORY!$E$2:$E$334, "Individual"))</f>
        <v>0</v>
      </c>
      <c r="K125" s="75">
        <f>SUMPRODUCT(COUNTIFS(PROGRAM_DIRECTORY!$A$2:$A$334, $N125:$AB125, PROGRAM_DIRECTORY!$E$2:$E$334, "Group"))</f>
        <v>0</v>
      </c>
      <c r="L125" s="75">
        <f t="shared" si="1"/>
        <v>0</v>
      </c>
      <c r="M125" s="75" t="str">
        <f t="shared" si="2"/>
        <v>Min 1 Required (Stage &amp; Non-Stage)</v>
      </c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AC125" s="79" t="str">
        <f t="shared" si="3"/>
        <v/>
      </c>
    </row>
    <row r="126">
      <c r="A126" s="74">
        <v>232.0</v>
      </c>
      <c r="B126" s="74" t="s">
        <v>780</v>
      </c>
      <c r="C126" s="74">
        <v>6.0</v>
      </c>
      <c r="D126" s="74" t="s">
        <v>7</v>
      </c>
      <c r="E126" s="74" t="s">
        <v>450</v>
      </c>
      <c r="F126" s="74" t="s">
        <v>622</v>
      </c>
      <c r="G126" s="75">
        <f>SUMPRODUCT(COUNTIFS(PROGRAM_DIRECTORY!$A$2:$A$334, $N126:$AB126, PROGRAM_DIRECTORY!$D$2:$D$334, "Non-Stage", PROGRAM_DIRECTORY!$E$2:$E$334, "Individual"))</f>
        <v>0</v>
      </c>
      <c r="H126" s="75">
        <f>SUMPRODUCT(COUNTIFS(PROGRAM_DIRECTORY!$A$2:$A$334, $N126:$AB126, PROGRAM_DIRECTORY!$D$2:$D$334, "Stage", PROGRAM_DIRECTORY!$E$2:$E$334, "Individual"))</f>
        <v>0</v>
      </c>
      <c r="I126" s="75">
        <f>SUMPRODUCT(COUNTIFS(PROGRAM_DIRECTORY!$A$2:$A$334, $N126:$AB126, PROGRAM_DIRECTORY!$D$2:$D$334, "Sports"))</f>
        <v>0</v>
      </c>
      <c r="J126" s="75">
        <f>SUMPRODUCT(COUNTIFS(PROGRAM_DIRECTORY!$A$2:$A$334, $N126:$AB126, PROGRAM_DIRECTORY!$E$2:$E$334, "Individual"))</f>
        <v>0</v>
      </c>
      <c r="K126" s="75">
        <f>SUMPRODUCT(COUNTIFS(PROGRAM_DIRECTORY!$A$2:$A$334, $N126:$AB126, PROGRAM_DIRECTORY!$E$2:$E$334, "Group"))</f>
        <v>0</v>
      </c>
      <c r="L126" s="75">
        <f t="shared" si="1"/>
        <v>0</v>
      </c>
      <c r="M126" s="75" t="str">
        <f t="shared" si="2"/>
        <v>Min 1 Required (Stage &amp; Non-Stage)</v>
      </c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AC126" s="79" t="str">
        <f t="shared" si="3"/>
        <v/>
      </c>
    </row>
    <row r="127">
      <c r="A127" s="74">
        <v>224.0</v>
      </c>
      <c r="B127" s="74" t="s">
        <v>781</v>
      </c>
      <c r="C127" s="74">
        <v>6.0</v>
      </c>
      <c r="D127" s="74" t="s">
        <v>7</v>
      </c>
      <c r="E127" s="74" t="s">
        <v>195</v>
      </c>
      <c r="F127" s="74" t="s">
        <v>622</v>
      </c>
      <c r="G127" s="75">
        <f>SUMPRODUCT(COUNTIFS(PROGRAM_DIRECTORY!$A$2:$A$334, $N127:$AB127, PROGRAM_DIRECTORY!$D$2:$D$334, "Non-Stage", PROGRAM_DIRECTORY!$E$2:$E$334, "Individual"))</f>
        <v>0</v>
      </c>
      <c r="H127" s="75">
        <f>SUMPRODUCT(COUNTIFS(PROGRAM_DIRECTORY!$A$2:$A$334, $N127:$AB127, PROGRAM_DIRECTORY!$D$2:$D$334, "Stage", PROGRAM_DIRECTORY!$E$2:$E$334, "Individual"))</f>
        <v>0</v>
      </c>
      <c r="I127" s="75">
        <f>SUMPRODUCT(COUNTIFS(PROGRAM_DIRECTORY!$A$2:$A$334, $N127:$AB127, PROGRAM_DIRECTORY!$D$2:$D$334, "Sports"))</f>
        <v>0</v>
      </c>
      <c r="J127" s="75">
        <f>SUMPRODUCT(COUNTIFS(PROGRAM_DIRECTORY!$A$2:$A$334, $N127:$AB127, PROGRAM_DIRECTORY!$E$2:$E$334, "Individual"))</f>
        <v>0</v>
      </c>
      <c r="K127" s="75">
        <f>SUMPRODUCT(COUNTIFS(PROGRAM_DIRECTORY!$A$2:$A$334, $N127:$AB127, PROGRAM_DIRECTORY!$E$2:$E$334, "Group"))</f>
        <v>0</v>
      </c>
      <c r="L127" s="75">
        <f t="shared" si="1"/>
        <v>0</v>
      </c>
      <c r="M127" s="75" t="str">
        <f t="shared" si="2"/>
        <v>Min 1 Required (Stage &amp; Non-Stage)</v>
      </c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AC127" s="79" t="str">
        <f t="shared" si="3"/>
        <v/>
      </c>
    </row>
    <row r="128">
      <c r="A128" s="74">
        <v>350.0</v>
      </c>
      <c r="B128" s="74" t="s">
        <v>782</v>
      </c>
      <c r="C128" s="74">
        <v>6.0</v>
      </c>
      <c r="D128" s="74" t="s">
        <v>7</v>
      </c>
      <c r="E128" s="74" t="s">
        <v>195</v>
      </c>
      <c r="F128" s="74" t="s">
        <v>622</v>
      </c>
      <c r="G128" s="75">
        <f>SUMPRODUCT(COUNTIFS(PROGRAM_DIRECTORY!$A$2:$A$334, $N128:$AB128, PROGRAM_DIRECTORY!$D$2:$D$334, "Non-Stage", PROGRAM_DIRECTORY!$E$2:$E$334, "Individual"))</f>
        <v>0</v>
      </c>
      <c r="H128" s="75">
        <f>SUMPRODUCT(COUNTIFS(PROGRAM_DIRECTORY!$A$2:$A$334, $N128:$AB128, PROGRAM_DIRECTORY!$D$2:$D$334, "Stage", PROGRAM_DIRECTORY!$E$2:$E$334, "Individual"))</f>
        <v>0</v>
      </c>
      <c r="I128" s="75">
        <f>SUMPRODUCT(COUNTIFS(PROGRAM_DIRECTORY!$A$2:$A$334, $N128:$AB128, PROGRAM_DIRECTORY!$D$2:$D$334, "Sports"))</f>
        <v>0</v>
      </c>
      <c r="J128" s="75">
        <f>SUMPRODUCT(COUNTIFS(PROGRAM_DIRECTORY!$A$2:$A$334, $N128:$AB128, PROGRAM_DIRECTORY!$E$2:$E$334, "Individual"))</f>
        <v>0</v>
      </c>
      <c r="K128" s="75">
        <f>SUMPRODUCT(COUNTIFS(PROGRAM_DIRECTORY!$A$2:$A$334, $N128:$AB128, PROGRAM_DIRECTORY!$E$2:$E$334, "Group"))</f>
        <v>0</v>
      </c>
      <c r="L128" s="75">
        <f t="shared" si="1"/>
        <v>0</v>
      </c>
      <c r="M128" s="75" t="str">
        <f t="shared" si="2"/>
        <v>Min 1 Required (Stage &amp; Non-Stage)</v>
      </c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AC128" s="79" t="str">
        <f t="shared" si="3"/>
        <v/>
      </c>
    </row>
    <row r="129">
      <c r="A129" s="74">
        <v>216.0</v>
      </c>
      <c r="B129" s="74" t="s">
        <v>783</v>
      </c>
      <c r="C129" s="74">
        <v>6.0</v>
      </c>
      <c r="D129" s="74" t="s">
        <v>7</v>
      </c>
      <c r="E129" s="74" t="s">
        <v>450</v>
      </c>
      <c r="F129" s="74" t="s">
        <v>622</v>
      </c>
      <c r="G129" s="75">
        <f>SUMPRODUCT(COUNTIFS(PROGRAM_DIRECTORY!$A$2:$A$334, $N129:$AB129, PROGRAM_DIRECTORY!$D$2:$D$334, "Non-Stage", PROGRAM_DIRECTORY!$E$2:$E$334, "Individual"))</f>
        <v>0</v>
      </c>
      <c r="H129" s="75">
        <f>SUMPRODUCT(COUNTIFS(PROGRAM_DIRECTORY!$A$2:$A$334, $N129:$AB129, PROGRAM_DIRECTORY!$D$2:$D$334, "Stage", PROGRAM_DIRECTORY!$E$2:$E$334, "Individual"))</f>
        <v>0</v>
      </c>
      <c r="I129" s="75">
        <f>SUMPRODUCT(COUNTIFS(PROGRAM_DIRECTORY!$A$2:$A$334, $N129:$AB129, PROGRAM_DIRECTORY!$D$2:$D$334, "Sports"))</f>
        <v>0</v>
      </c>
      <c r="J129" s="75">
        <f>SUMPRODUCT(COUNTIFS(PROGRAM_DIRECTORY!$A$2:$A$334, $N129:$AB129, PROGRAM_DIRECTORY!$E$2:$E$334, "Individual"))</f>
        <v>0</v>
      </c>
      <c r="K129" s="75">
        <f>SUMPRODUCT(COUNTIFS(PROGRAM_DIRECTORY!$A$2:$A$334, $N129:$AB129, PROGRAM_DIRECTORY!$E$2:$E$334, "Group"))</f>
        <v>0</v>
      </c>
      <c r="L129" s="75">
        <f t="shared" si="1"/>
        <v>0</v>
      </c>
      <c r="M129" s="75" t="str">
        <f t="shared" si="2"/>
        <v>Min 1 Required (Stage &amp; Non-Stage)</v>
      </c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AC129" s="79" t="str">
        <f t="shared" si="3"/>
        <v/>
      </c>
    </row>
    <row r="130">
      <c r="A130" s="74">
        <v>226.0</v>
      </c>
      <c r="B130" s="74" t="s">
        <v>784</v>
      </c>
      <c r="C130" s="74">
        <v>6.0</v>
      </c>
      <c r="D130" s="74" t="s">
        <v>7</v>
      </c>
      <c r="E130" s="74" t="s">
        <v>380</v>
      </c>
      <c r="F130" s="74" t="s">
        <v>622</v>
      </c>
      <c r="G130" s="75">
        <f>SUMPRODUCT(COUNTIFS(PROGRAM_DIRECTORY!$A$2:$A$334, $N130:$AB130, PROGRAM_DIRECTORY!$D$2:$D$334, "Non-Stage", PROGRAM_DIRECTORY!$E$2:$E$334, "Individual"))</f>
        <v>0</v>
      </c>
      <c r="H130" s="75">
        <f>SUMPRODUCT(COUNTIFS(PROGRAM_DIRECTORY!$A$2:$A$334, $N130:$AB130, PROGRAM_DIRECTORY!$D$2:$D$334, "Stage", PROGRAM_DIRECTORY!$E$2:$E$334, "Individual"))</f>
        <v>0</v>
      </c>
      <c r="I130" s="75">
        <f>SUMPRODUCT(COUNTIFS(PROGRAM_DIRECTORY!$A$2:$A$334, $N130:$AB130, PROGRAM_DIRECTORY!$D$2:$D$334, "Sports"))</f>
        <v>0</v>
      </c>
      <c r="J130" s="75">
        <f>SUMPRODUCT(COUNTIFS(PROGRAM_DIRECTORY!$A$2:$A$334, $N130:$AB130, PROGRAM_DIRECTORY!$E$2:$E$334, "Individual"))</f>
        <v>0</v>
      </c>
      <c r="K130" s="75">
        <f>SUMPRODUCT(COUNTIFS(PROGRAM_DIRECTORY!$A$2:$A$334, $N130:$AB130, PROGRAM_DIRECTORY!$E$2:$E$334, "Group"))</f>
        <v>0</v>
      </c>
      <c r="L130" s="75">
        <f t="shared" si="1"/>
        <v>0</v>
      </c>
      <c r="M130" s="75" t="str">
        <f t="shared" si="2"/>
        <v>Min 1 Required (Stage &amp; Non-Stage)</v>
      </c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AC130" s="79" t="str">
        <f t="shared" si="3"/>
        <v/>
      </c>
    </row>
    <row r="131">
      <c r="A131" s="74">
        <v>238.0</v>
      </c>
      <c r="B131" s="74" t="s">
        <v>785</v>
      </c>
      <c r="C131" s="74">
        <v>6.0</v>
      </c>
      <c r="D131" s="74" t="s">
        <v>7</v>
      </c>
      <c r="E131" s="74" t="s">
        <v>450</v>
      </c>
      <c r="F131" s="74" t="s">
        <v>622</v>
      </c>
      <c r="G131" s="75">
        <f>SUMPRODUCT(COUNTIFS(PROGRAM_DIRECTORY!$A$2:$A$334, $N131:$AB131, PROGRAM_DIRECTORY!$D$2:$D$334, "Non-Stage", PROGRAM_DIRECTORY!$E$2:$E$334, "Individual"))</f>
        <v>0</v>
      </c>
      <c r="H131" s="75">
        <f>SUMPRODUCT(COUNTIFS(PROGRAM_DIRECTORY!$A$2:$A$334, $N131:$AB131, PROGRAM_DIRECTORY!$D$2:$D$334, "Stage", PROGRAM_DIRECTORY!$E$2:$E$334, "Individual"))</f>
        <v>0</v>
      </c>
      <c r="I131" s="75">
        <f>SUMPRODUCT(COUNTIFS(PROGRAM_DIRECTORY!$A$2:$A$334, $N131:$AB131, PROGRAM_DIRECTORY!$D$2:$D$334, "Sports"))</f>
        <v>0</v>
      </c>
      <c r="J131" s="75">
        <f>SUMPRODUCT(COUNTIFS(PROGRAM_DIRECTORY!$A$2:$A$334, $N131:$AB131, PROGRAM_DIRECTORY!$E$2:$E$334, "Individual"))</f>
        <v>0</v>
      </c>
      <c r="K131" s="75">
        <f>SUMPRODUCT(COUNTIFS(PROGRAM_DIRECTORY!$A$2:$A$334, $N131:$AB131, PROGRAM_DIRECTORY!$E$2:$E$334, "Group"))</f>
        <v>0</v>
      </c>
      <c r="L131" s="75">
        <f t="shared" si="1"/>
        <v>0</v>
      </c>
      <c r="M131" s="75" t="str">
        <f t="shared" si="2"/>
        <v>Min 1 Required (Stage &amp; Non-Stage)</v>
      </c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AC131" s="79" t="str">
        <f t="shared" si="3"/>
        <v/>
      </c>
    </row>
    <row r="132">
      <c r="A132" s="74">
        <v>214.0</v>
      </c>
      <c r="B132" s="74" t="s">
        <v>786</v>
      </c>
      <c r="C132" s="74">
        <v>6.0</v>
      </c>
      <c r="D132" s="74" t="s">
        <v>7</v>
      </c>
      <c r="E132" s="74" t="s">
        <v>450</v>
      </c>
      <c r="F132" s="74" t="s">
        <v>622</v>
      </c>
      <c r="G132" s="75">
        <f>SUMPRODUCT(COUNTIFS(PROGRAM_DIRECTORY!$A$2:$A$334, $N132:$AB132, PROGRAM_DIRECTORY!$D$2:$D$334, "Non-Stage", PROGRAM_DIRECTORY!$E$2:$E$334, "Individual"))</f>
        <v>0</v>
      </c>
      <c r="H132" s="75">
        <f>SUMPRODUCT(COUNTIFS(PROGRAM_DIRECTORY!$A$2:$A$334, $N132:$AB132, PROGRAM_DIRECTORY!$D$2:$D$334, "Stage", PROGRAM_DIRECTORY!$E$2:$E$334, "Individual"))</f>
        <v>0</v>
      </c>
      <c r="I132" s="75">
        <f>SUMPRODUCT(COUNTIFS(PROGRAM_DIRECTORY!$A$2:$A$334, $N132:$AB132, PROGRAM_DIRECTORY!$D$2:$D$334, "Sports"))</f>
        <v>0</v>
      </c>
      <c r="J132" s="75">
        <f>SUMPRODUCT(COUNTIFS(PROGRAM_DIRECTORY!$A$2:$A$334, $N132:$AB132, PROGRAM_DIRECTORY!$E$2:$E$334, "Individual"))</f>
        <v>0</v>
      </c>
      <c r="K132" s="75">
        <f>SUMPRODUCT(COUNTIFS(PROGRAM_DIRECTORY!$A$2:$A$334, $N132:$AB132, PROGRAM_DIRECTORY!$E$2:$E$334, "Group"))</f>
        <v>0</v>
      </c>
      <c r="L132" s="75">
        <f t="shared" si="1"/>
        <v>0</v>
      </c>
      <c r="M132" s="75" t="str">
        <f t="shared" si="2"/>
        <v>Min 1 Required (Stage &amp; Non-Stage)</v>
      </c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AC132" s="79" t="str">
        <f t="shared" si="3"/>
        <v/>
      </c>
    </row>
    <row r="133">
      <c r="A133" s="74">
        <v>231.0</v>
      </c>
      <c r="B133" s="74" t="s">
        <v>787</v>
      </c>
      <c r="C133" s="74">
        <v>6.0</v>
      </c>
      <c r="D133" s="74" t="s">
        <v>7</v>
      </c>
      <c r="E133" s="74" t="s">
        <v>331</v>
      </c>
      <c r="F133" s="74" t="s">
        <v>622</v>
      </c>
      <c r="G133" s="75">
        <f>SUMPRODUCT(COUNTIFS(PROGRAM_DIRECTORY!$A$2:$A$334, $N133:$AB133, PROGRAM_DIRECTORY!$D$2:$D$334, "Non-Stage", PROGRAM_DIRECTORY!$E$2:$E$334, "Individual"))</f>
        <v>0</v>
      </c>
      <c r="H133" s="75">
        <f>SUMPRODUCT(COUNTIFS(PROGRAM_DIRECTORY!$A$2:$A$334, $N133:$AB133, PROGRAM_DIRECTORY!$D$2:$D$334, "Stage", PROGRAM_DIRECTORY!$E$2:$E$334, "Individual"))</f>
        <v>0</v>
      </c>
      <c r="I133" s="75">
        <f>SUMPRODUCT(COUNTIFS(PROGRAM_DIRECTORY!$A$2:$A$334, $N133:$AB133, PROGRAM_DIRECTORY!$D$2:$D$334, "Sports"))</f>
        <v>0</v>
      </c>
      <c r="J133" s="75">
        <f>SUMPRODUCT(COUNTIFS(PROGRAM_DIRECTORY!$A$2:$A$334, $N133:$AB133, PROGRAM_DIRECTORY!$E$2:$E$334, "Individual"))</f>
        <v>0</v>
      </c>
      <c r="K133" s="75">
        <f>SUMPRODUCT(COUNTIFS(PROGRAM_DIRECTORY!$A$2:$A$334, $N133:$AB133, PROGRAM_DIRECTORY!$E$2:$E$334, "Group"))</f>
        <v>0</v>
      </c>
      <c r="L133" s="75">
        <f t="shared" si="1"/>
        <v>0</v>
      </c>
      <c r="M133" s="75" t="str">
        <f t="shared" si="2"/>
        <v>Min 1 Required (Stage &amp; Non-Stage)</v>
      </c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AC133" s="79" t="str">
        <f t="shared" si="3"/>
        <v/>
      </c>
    </row>
    <row r="134">
      <c r="A134" s="74">
        <v>235.0</v>
      </c>
      <c r="B134" s="74" t="s">
        <v>788</v>
      </c>
      <c r="C134" s="74">
        <v>6.0</v>
      </c>
      <c r="D134" s="74" t="s">
        <v>7</v>
      </c>
      <c r="E134" s="74" t="s">
        <v>380</v>
      </c>
      <c r="F134" s="74" t="s">
        <v>622</v>
      </c>
      <c r="G134" s="75">
        <f>SUMPRODUCT(COUNTIFS(PROGRAM_DIRECTORY!$A$2:$A$334, $N134:$AB134, PROGRAM_DIRECTORY!$D$2:$D$334, "Non-Stage", PROGRAM_DIRECTORY!$E$2:$E$334, "Individual"))</f>
        <v>0</v>
      </c>
      <c r="H134" s="75">
        <f>SUMPRODUCT(COUNTIFS(PROGRAM_DIRECTORY!$A$2:$A$334, $N134:$AB134, PROGRAM_DIRECTORY!$D$2:$D$334, "Stage", PROGRAM_DIRECTORY!$E$2:$E$334, "Individual"))</f>
        <v>0</v>
      </c>
      <c r="I134" s="75">
        <f>SUMPRODUCT(COUNTIFS(PROGRAM_DIRECTORY!$A$2:$A$334, $N134:$AB134, PROGRAM_DIRECTORY!$D$2:$D$334, "Sports"))</f>
        <v>0</v>
      </c>
      <c r="J134" s="75">
        <f>SUMPRODUCT(COUNTIFS(PROGRAM_DIRECTORY!$A$2:$A$334, $N134:$AB134, PROGRAM_DIRECTORY!$E$2:$E$334, "Individual"))</f>
        <v>0</v>
      </c>
      <c r="K134" s="75">
        <f>SUMPRODUCT(COUNTIFS(PROGRAM_DIRECTORY!$A$2:$A$334, $N134:$AB134, PROGRAM_DIRECTORY!$E$2:$E$334, "Group"))</f>
        <v>0</v>
      </c>
      <c r="L134" s="75">
        <f t="shared" si="1"/>
        <v>0</v>
      </c>
      <c r="M134" s="75" t="str">
        <f t="shared" si="2"/>
        <v>Min 1 Required (Stage &amp; Non-Stage)</v>
      </c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AC134" s="79" t="str">
        <f t="shared" si="3"/>
        <v/>
      </c>
    </row>
    <row r="135">
      <c r="A135" s="74">
        <v>189.0</v>
      </c>
      <c r="B135" s="74" t="s">
        <v>789</v>
      </c>
      <c r="C135" s="74">
        <v>6.0</v>
      </c>
      <c r="D135" s="74" t="s">
        <v>7</v>
      </c>
      <c r="E135" s="74" t="s">
        <v>195</v>
      </c>
      <c r="F135" s="74" t="s">
        <v>622</v>
      </c>
      <c r="G135" s="75">
        <f>SUMPRODUCT(COUNTIFS(PROGRAM_DIRECTORY!$A$2:$A$334, $N135:$AB135, PROGRAM_DIRECTORY!$D$2:$D$334, "Non-Stage", PROGRAM_DIRECTORY!$E$2:$E$334, "Individual"))</f>
        <v>0</v>
      </c>
      <c r="H135" s="75">
        <f>SUMPRODUCT(COUNTIFS(PROGRAM_DIRECTORY!$A$2:$A$334, $N135:$AB135, PROGRAM_DIRECTORY!$D$2:$D$334, "Stage", PROGRAM_DIRECTORY!$E$2:$E$334, "Individual"))</f>
        <v>0</v>
      </c>
      <c r="I135" s="75">
        <f>SUMPRODUCT(COUNTIFS(PROGRAM_DIRECTORY!$A$2:$A$334, $N135:$AB135, PROGRAM_DIRECTORY!$D$2:$D$334, "Sports"))</f>
        <v>0</v>
      </c>
      <c r="J135" s="75">
        <f>SUMPRODUCT(COUNTIFS(PROGRAM_DIRECTORY!$A$2:$A$334, $N135:$AB135, PROGRAM_DIRECTORY!$E$2:$E$334, "Individual"))</f>
        <v>0</v>
      </c>
      <c r="K135" s="75">
        <f>SUMPRODUCT(COUNTIFS(PROGRAM_DIRECTORY!$A$2:$A$334, $N135:$AB135, PROGRAM_DIRECTORY!$E$2:$E$334, "Group"))</f>
        <v>0</v>
      </c>
      <c r="L135" s="75">
        <f t="shared" si="1"/>
        <v>0</v>
      </c>
      <c r="M135" s="75" t="str">
        <f t="shared" si="2"/>
        <v>Min 1 Required (Stage &amp; Non-Stage)</v>
      </c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AC135" s="79" t="str">
        <f t="shared" si="3"/>
        <v/>
      </c>
    </row>
    <row r="136">
      <c r="A136" s="74">
        <v>243.0</v>
      </c>
      <c r="B136" s="74" t="s">
        <v>790</v>
      </c>
      <c r="C136" s="74">
        <v>6.0</v>
      </c>
      <c r="D136" s="74" t="s">
        <v>7</v>
      </c>
      <c r="E136" s="74" t="s">
        <v>450</v>
      </c>
      <c r="F136" s="74" t="s">
        <v>622</v>
      </c>
      <c r="G136" s="75">
        <f>SUMPRODUCT(COUNTIFS(PROGRAM_DIRECTORY!$A$2:$A$334, $N136:$AB136, PROGRAM_DIRECTORY!$D$2:$D$334, "Non-Stage", PROGRAM_DIRECTORY!$E$2:$E$334, "Individual"))</f>
        <v>0</v>
      </c>
      <c r="H136" s="75">
        <f>SUMPRODUCT(COUNTIFS(PROGRAM_DIRECTORY!$A$2:$A$334, $N136:$AB136, PROGRAM_DIRECTORY!$D$2:$D$334, "Stage", PROGRAM_DIRECTORY!$E$2:$E$334, "Individual"))</f>
        <v>0</v>
      </c>
      <c r="I136" s="75">
        <f>SUMPRODUCT(COUNTIFS(PROGRAM_DIRECTORY!$A$2:$A$334, $N136:$AB136, PROGRAM_DIRECTORY!$D$2:$D$334, "Sports"))</f>
        <v>0</v>
      </c>
      <c r="J136" s="75">
        <f>SUMPRODUCT(COUNTIFS(PROGRAM_DIRECTORY!$A$2:$A$334, $N136:$AB136, PROGRAM_DIRECTORY!$E$2:$E$334, "Individual"))</f>
        <v>0</v>
      </c>
      <c r="K136" s="75">
        <f>SUMPRODUCT(COUNTIFS(PROGRAM_DIRECTORY!$A$2:$A$334, $N136:$AB136, PROGRAM_DIRECTORY!$E$2:$E$334, "Group"))</f>
        <v>0</v>
      </c>
      <c r="L136" s="75">
        <f t="shared" si="1"/>
        <v>0</v>
      </c>
      <c r="M136" s="75" t="str">
        <f t="shared" si="2"/>
        <v>Min 1 Required (Stage &amp; Non-Stage)</v>
      </c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AC136" s="79" t="str">
        <f t="shared" si="3"/>
        <v/>
      </c>
    </row>
    <row r="137">
      <c r="A137" s="74">
        <v>197.0</v>
      </c>
      <c r="B137" s="74" t="s">
        <v>791</v>
      </c>
      <c r="C137" s="74">
        <v>6.0</v>
      </c>
      <c r="D137" s="74" t="s">
        <v>7</v>
      </c>
      <c r="E137" s="74" t="s">
        <v>331</v>
      </c>
      <c r="F137" s="74" t="s">
        <v>622</v>
      </c>
      <c r="G137" s="75">
        <f>SUMPRODUCT(COUNTIFS(PROGRAM_DIRECTORY!$A$2:$A$334, $N137:$AB137, PROGRAM_DIRECTORY!$D$2:$D$334, "Non-Stage", PROGRAM_DIRECTORY!$E$2:$E$334, "Individual"))</f>
        <v>0</v>
      </c>
      <c r="H137" s="75">
        <f>SUMPRODUCT(COUNTIFS(PROGRAM_DIRECTORY!$A$2:$A$334, $N137:$AB137, PROGRAM_DIRECTORY!$D$2:$D$334, "Stage", PROGRAM_DIRECTORY!$E$2:$E$334, "Individual"))</f>
        <v>0</v>
      </c>
      <c r="I137" s="75">
        <f>SUMPRODUCT(COUNTIFS(PROGRAM_DIRECTORY!$A$2:$A$334, $N137:$AB137, PROGRAM_DIRECTORY!$D$2:$D$334, "Sports"))</f>
        <v>0</v>
      </c>
      <c r="J137" s="75">
        <f>SUMPRODUCT(COUNTIFS(PROGRAM_DIRECTORY!$A$2:$A$334, $N137:$AB137, PROGRAM_DIRECTORY!$E$2:$E$334, "Individual"))</f>
        <v>0</v>
      </c>
      <c r="K137" s="75">
        <f>SUMPRODUCT(COUNTIFS(PROGRAM_DIRECTORY!$A$2:$A$334, $N137:$AB137, PROGRAM_DIRECTORY!$E$2:$E$334, "Group"))</f>
        <v>0</v>
      </c>
      <c r="L137" s="75">
        <f t="shared" si="1"/>
        <v>0</v>
      </c>
      <c r="M137" s="75" t="str">
        <f t="shared" si="2"/>
        <v>Min 1 Required (Stage &amp; Non-Stage)</v>
      </c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AC137" s="79" t="str">
        <f t="shared" si="3"/>
        <v/>
      </c>
    </row>
    <row r="138">
      <c r="A138" s="74">
        <v>233.0</v>
      </c>
      <c r="B138" s="74" t="s">
        <v>792</v>
      </c>
      <c r="C138" s="74">
        <v>6.0</v>
      </c>
      <c r="D138" s="74" t="s">
        <v>7</v>
      </c>
      <c r="E138" s="74" t="s">
        <v>195</v>
      </c>
      <c r="F138" s="74" t="s">
        <v>622</v>
      </c>
      <c r="G138" s="75">
        <f>SUMPRODUCT(COUNTIFS(PROGRAM_DIRECTORY!$A$2:$A$334, $N138:$AB138, PROGRAM_DIRECTORY!$D$2:$D$334, "Non-Stage", PROGRAM_DIRECTORY!$E$2:$E$334, "Individual"))</f>
        <v>0</v>
      </c>
      <c r="H138" s="75">
        <f>SUMPRODUCT(COUNTIFS(PROGRAM_DIRECTORY!$A$2:$A$334, $N138:$AB138, PROGRAM_DIRECTORY!$D$2:$D$334, "Stage", PROGRAM_DIRECTORY!$E$2:$E$334, "Individual"))</f>
        <v>0</v>
      </c>
      <c r="I138" s="75">
        <f>SUMPRODUCT(COUNTIFS(PROGRAM_DIRECTORY!$A$2:$A$334, $N138:$AB138, PROGRAM_DIRECTORY!$D$2:$D$334, "Sports"))</f>
        <v>0</v>
      </c>
      <c r="J138" s="75">
        <f>SUMPRODUCT(COUNTIFS(PROGRAM_DIRECTORY!$A$2:$A$334, $N138:$AB138, PROGRAM_DIRECTORY!$E$2:$E$334, "Individual"))</f>
        <v>0</v>
      </c>
      <c r="K138" s="75">
        <f>SUMPRODUCT(COUNTIFS(PROGRAM_DIRECTORY!$A$2:$A$334, $N138:$AB138, PROGRAM_DIRECTORY!$E$2:$E$334, "Group"))</f>
        <v>0</v>
      </c>
      <c r="L138" s="75">
        <f t="shared" si="1"/>
        <v>0</v>
      </c>
      <c r="M138" s="75" t="str">
        <f t="shared" si="2"/>
        <v>Min 1 Required (Stage &amp; Non-Stage)</v>
      </c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AC138" s="79" t="str">
        <f t="shared" si="3"/>
        <v/>
      </c>
    </row>
    <row r="139">
      <c r="A139" s="74">
        <v>215.0</v>
      </c>
      <c r="B139" s="74" t="s">
        <v>793</v>
      </c>
      <c r="C139" s="74">
        <v>6.0</v>
      </c>
      <c r="D139" s="74" t="s">
        <v>7</v>
      </c>
      <c r="E139" s="74" t="s">
        <v>195</v>
      </c>
      <c r="F139" s="74" t="s">
        <v>622</v>
      </c>
      <c r="G139" s="75">
        <f>SUMPRODUCT(COUNTIFS(PROGRAM_DIRECTORY!$A$2:$A$334, $N139:$AB139, PROGRAM_DIRECTORY!$D$2:$D$334, "Non-Stage", PROGRAM_DIRECTORY!$E$2:$E$334, "Individual"))</f>
        <v>0</v>
      </c>
      <c r="H139" s="75">
        <f>SUMPRODUCT(COUNTIFS(PROGRAM_DIRECTORY!$A$2:$A$334, $N139:$AB139, PROGRAM_DIRECTORY!$D$2:$D$334, "Stage", PROGRAM_DIRECTORY!$E$2:$E$334, "Individual"))</f>
        <v>0</v>
      </c>
      <c r="I139" s="75">
        <f>SUMPRODUCT(COUNTIFS(PROGRAM_DIRECTORY!$A$2:$A$334, $N139:$AB139, PROGRAM_DIRECTORY!$D$2:$D$334, "Sports"))</f>
        <v>0</v>
      </c>
      <c r="J139" s="75">
        <f>SUMPRODUCT(COUNTIFS(PROGRAM_DIRECTORY!$A$2:$A$334, $N139:$AB139, PROGRAM_DIRECTORY!$E$2:$E$334, "Individual"))</f>
        <v>0</v>
      </c>
      <c r="K139" s="75">
        <f>SUMPRODUCT(COUNTIFS(PROGRAM_DIRECTORY!$A$2:$A$334, $N139:$AB139, PROGRAM_DIRECTORY!$E$2:$E$334, "Group"))</f>
        <v>0</v>
      </c>
      <c r="L139" s="75">
        <f t="shared" si="1"/>
        <v>0</v>
      </c>
      <c r="M139" s="75" t="str">
        <f t="shared" si="2"/>
        <v>Min 1 Required (Stage &amp; Non-Stage)</v>
      </c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AC139" s="79" t="str">
        <f t="shared" si="3"/>
        <v/>
      </c>
    </row>
    <row r="140">
      <c r="A140" s="74">
        <v>435.0</v>
      </c>
      <c r="B140" s="74" t="s">
        <v>794</v>
      </c>
      <c r="C140" s="74">
        <v>6.0</v>
      </c>
      <c r="D140" s="74" t="s">
        <v>7</v>
      </c>
      <c r="E140" s="74" t="s">
        <v>331</v>
      </c>
      <c r="F140" s="74" t="s">
        <v>622</v>
      </c>
      <c r="G140" s="75">
        <f>SUMPRODUCT(COUNTIFS(PROGRAM_DIRECTORY!$A$2:$A$334, $N140:$AB140, PROGRAM_DIRECTORY!$D$2:$D$334, "Non-Stage", PROGRAM_DIRECTORY!$E$2:$E$334, "Individual"))</f>
        <v>0</v>
      </c>
      <c r="H140" s="75">
        <f>SUMPRODUCT(COUNTIFS(PROGRAM_DIRECTORY!$A$2:$A$334, $N140:$AB140, PROGRAM_DIRECTORY!$D$2:$D$334, "Stage", PROGRAM_DIRECTORY!$E$2:$E$334, "Individual"))</f>
        <v>0</v>
      </c>
      <c r="I140" s="75">
        <f>SUMPRODUCT(COUNTIFS(PROGRAM_DIRECTORY!$A$2:$A$334, $N140:$AB140, PROGRAM_DIRECTORY!$D$2:$D$334, "Sports"))</f>
        <v>0</v>
      </c>
      <c r="J140" s="75">
        <f>SUMPRODUCT(COUNTIFS(PROGRAM_DIRECTORY!$A$2:$A$334, $N140:$AB140, PROGRAM_DIRECTORY!$E$2:$E$334, "Individual"))</f>
        <v>0</v>
      </c>
      <c r="K140" s="75">
        <f>SUMPRODUCT(COUNTIFS(PROGRAM_DIRECTORY!$A$2:$A$334, $N140:$AB140, PROGRAM_DIRECTORY!$E$2:$E$334, "Group"))</f>
        <v>0</v>
      </c>
      <c r="L140" s="75">
        <f t="shared" si="1"/>
        <v>0</v>
      </c>
      <c r="M140" s="75" t="str">
        <f t="shared" si="2"/>
        <v>Min 1 Required (Stage &amp; Non-Stage)</v>
      </c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AC140" s="79" t="str">
        <f t="shared" si="3"/>
        <v/>
      </c>
    </row>
    <row r="141">
      <c r="A141" s="74">
        <v>237.0</v>
      </c>
      <c r="B141" s="74" t="s">
        <v>795</v>
      </c>
      <c r="C141" s="74">
        <v>6.0</v>
      </c>
      <c r="D141" s="74" t="s">
        <v>7</v>
      </c>
      <c r="E141" s="74" t="s">
        <v>380</v>
      </c>
      <c r="F141" s="74" t="s">
        <v>622</v>
      </c>
      <c r="G141" s="75">
        <f>SUMPRODUCT(COUNTIFS(PROGRAM_DIRECTORY!$A$2:$A$334, $N141:$AB141, PROGRAM_DIRECTORY!$D$2:$D$334, "Non-Stage", PROGRAM_DIRECTORY!$E$2:$E$334, "Individual"))</f>
        <v>0</v>
      </c>
      <c r="H141" s="75">
        <f>SUMPRODUCT(COUNTIFS(PROGRAM_DIRECTORY!$A$2:$A$334, $N141:$AB141, PROGRAM_DIRECTORY!$D$2:$D$334, "Stage", PROGRAM_DIRECTORY!$E$2:$E$334, "Individual"))</f>
        <v>0</v>
      </c>
      <c r="I141" s="75">
        <f>SUMPRODUCT(COUNTIFS(PROGRAM_DIRECTORY!$A$2:$A$334, $N141:$AB141, PROGRAM_DIRECTORY!$D$2:$D$334, "Sports"))</f>
        <v>0</v>
      </c>
      <c r="J141" s="75">
        <f>SUMPRODUCT(COUNTIFS(PROGRAM_DIRECTORY!$A$2:$A$334, $N141:$AB141, PROGRAM_DIRECTORY!$E$2:$E$334, "Individual"))</f>
        <v>0</v>
      </c>
      <c r="K141" s="75">
        <f>SUMPRODUCT(COUNTIFS(PROGRAM_DIRECTORY!$A$2:$A$334, $N141:$AB141, PROGRAM_DIRECTORY!$E$2:$E$334, "Group"))</f>
        <v>0</v>
      </c>
      <c r="L141" s="75">
        <f t="shared" si="1"/>
        <v>0</v>
      </c>
      <c r="M141" s="75" t="str">
        <f t="shared" si="2"/>
        <v>Min 1 Required (Stage &amp; Non-Stage)</v>
      </c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AC141" s="79" t="str">
        <f t="shared" si="3"/>
        <v/>
      </c>
    </row>
    <row r="142">
      <c r="A142" s="74">
        <v>253.0</v>
      </c>
      <c r="B142" s="74" t="s">
        <v>796</v>
      </c>
      <c r="C142" s="74">
        <v>5.0</v>
      </c>
      <c r="D142" s="74" t="s">
        <v>5</v>
      </c>
      <c r="E142" s="74" t="s">
        <v>331</v>
      </c>
      <c r="F142" s="74" t="s">
        <v>622</v>
      </c>
      <c r="G142" s="75">
        <f>SUMPRODUCT(COUNTIFS(PROGRAM_DIRECTORY!$A$2:$A$334, $N142:$AB142, PROGRAM_DIRECTORY!$D$2:$D$334, "Non-Stage", PROGRAM_DIRECTORY!$E$2:$E$334, "Individual"))</f>
        <v>0</v>
      </c>
      <c r="H142" s="75">
        <f>SUMPRODUCT(COUNTIFS(PROGRAM_DIRECTORY!$A$2:$A$334, $N142:$AB142, PROGRAM_DIRECTORY!$D$2:$D$334, "Stage", PROGRAM_DIRECTORY!$E$2:$E$334, "Individual"))</f>
        <v>0</v>
      </c>
      <c r="I142" s="75">
        <f>SUMPRODUCT(COUNTIFS(PROGRAM_DIRECTORY!$A$2:$A$334, $N142:$AB142, PROGRAM_DIRECTORY!$D$2:$D$334, "Sports"))</f>
        <v>0</v>
      </c>
      <c r="J142" s="75">
        <f>SUMPRODUCT(COUNTIFS(PROGRAM_DIRECTORY!$A$2:$A$334, $N142:$AB142, PROGRAM_DIRECTORY!$E$2:$E$334, "Individual"))</f>
        <v>0</v>
      </c>
      <c r="K142" s="75">
        <f>SUMPRODUCT(COUNTIFS(PROGRAM_DIRECTORY!$A$2:$A$334, $N142:$AB142, PROGRAM_DIRECTORY!$E$2:$E$334, "Group"))</f>
        <v>0</v>
      </c>
      <c r="L142" s="75">
        <f t="shared" si="1"/>
        <v>0</v>
      </c>
      <c r="M142" s="75" t="str">
        <f t="shared" si="2"/>
        <v>Min 1 Required (Stage &amp; Non-Stage)</v>
      </c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AC142" s="79" t="str">
        <f t="shared" si="3"/>
        <v/>
      </c>
    </row>
    <row r="143">
      <c r="A143" s="74">
        <v>267.0</v>
      </c>
      <c r="B143" s="74" t="s">
        <v>797</v>
      </c>
      <c r="C143" s="74">
        <v>5.0</v>
      </c>
      <c r="D143" s="74" t="s">
        <v>5</v>
      </c>
      <c r="E143" s="74" t="s">
        <v>450</v>
      </c>
      <c r="F143" s="74" t="s">
        <v>622</v>
      </c>
      <c r="G143" s="75">
        <f>SUMPRODUCT(COUNTIFS(PROGRAM_DIRECTORY!$A$2:$A$334, $N143:$AB143, PROGRAM_DIRECTORY!$D$2:$D$334, "Non-Stage", PROGRAM_DIRECTORY!$E$2:$E$334, "Individual"))</f>
        <v>0</v>
      </c>
      <c r="H143" s="75">
        <f>SUMPRODUCT(COUNTIFS(PROGRAM_DIRECTORY!$A$2:$A$334, $N143:$AB143, PROGRAM_DIRECTORY!$D$2:$D$334, "Stage", PROGRAM_DIRECTORY!$E$2:$E$334, "Individual"))</f>
        <v>0</v>
      </c>
      <c r="I143" s="75">
        <f>SUMPRODUCT(COUNTIFS(PROGRAM_DIRECTORY!$A$2:$A$334, $N143:$AB143, PROGRAM_DIRECTORY!$D$2:$D$334, "Sports"))</f>
        <v>0</v>
      </c>
      <c r="J143" s="75">
        <f>SUMPRODUCT(COUNTIFS(PROGRAM_DIRECTORY!$A$2:$A$334, $N143:$AB143, PROGRAM_DIRECTORY!$E$2:$E$334, "Individual"))</f>
        <v>0</v>
      </c>
      <c r="K143" s="75">
        <f>SUMPRODUCT(COUNTIFS(PROGRAM_DIRECTORY!$A$2:$A$334, $N143:$AB143, PROGRAM_DIRECTORY!$E$2:$E$334, "Group"))</f>
        <v>0</v>
      </c>
      <c r="L143" s="75">
        <f t="shared" si="1"/>
        <v>0</v>
      </c>
      <c r="M143" s="75" t="str">
        <f t="shared" si="2"/>
        <v>Min 1 Required (Stage &amp; Non-Stage)</v>
      </c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AC143" s="79" t="str">
        <f t="shared" si="3"/>
        <v/>
      </c>
    </row>
    <row r="144">
      <c r="A144" s="74">
        <v>437.0</v>
      </c>
      <c r="B144" s="74" t="s">
        <v>798</v>
      </c>
      <c r="C144" s="74">
        <v>5.0</v>
      </c>
      <c r="D144" s="74" t="s">
        <v>5</v>
      </c>
      <c r="E144" s="74" t="s">
        <v>450</v>
      </c>
      <c r="F144" s="74" t="s">
        <v>622</v>
      </c>
      <c r="G144" s="75">
        <f>SUMPRODUCT(COUNTIFS(PROGRAM_DIRECTORY!$A$2:$A$334, $N144:$AB144, PROGRAM_DIRECTORY!$D$2:$D$334, "Non-Stage", PROGRAM_DIRECTORY!$E$2:$E$334, "Individual"))</f>
        <v>0</v>
      </c>
      <c r="H144" s="75">
        <f>SUMPRODUCT(COUNTIFS(PROGRAM_DIRECTORY!$A$2:$A$334, $N144:$AB144, PROGRAM_DIRECTORY!$D$2:$D$334, "Stage", PROGRAM_DIRECTORY!$E$2:$E$334, "Individual"))</f>
        <v>0</v>
      </c>
      <c r="I144" s="75">
        <f>SUMPRODUCT(COUNTIFS(PROGRAM_DIRECTORY!$A$2:$A$334, $N144:$AB144, PROGRAM_DIRECTORY!$D$2:$D$334, "Sports"))</f>
        <v>0</v>
      </c>
      <c r="J144" s="75">
        <f>SUMPRODUCT(COUNTIFS(PROGRAM_DIRECTORY!$A$2:$A$334, $N144:$AB144, PROGRAM_DIRECTORY!$E$2:$E$334, "Individual"))</f>
        <v>0</v>
      </c>
      <c r="K144" s="75">
        <f>SUMPRODUCT(COUNTIFS(PROGRAM_DIRECTORY!$A$2:$A$334, $N144:$AB144, PROGRAM_DIRECTORY!$E$2:$E$334, "Group"))</f>
        <v>0</v>
      </c>
      <c r="L144" s="75">
        <f t="shared" si="1"/>
        <v>0</v>
      </c>
      <c r="M144" s="75" t="str">
        <f t="shared" si="2"/>
        <v>Min 1 Required (Stage &amp; Non-Stage)</v>
      </c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AC144" s="79" t="str">
        <f t="shared" si="3"/>
        <v/>
      </c>
    </row>
    <row r="145">
      <c r="A145" s="74">
        <v>260.0</v>
      </c>
      <c r="B145" s="74" t="s">
        <v>799</v>
      </c>
      <c r="C145" s="74">
        <v>5.0</v>
      </c>
      <c r="D145" s="74" t="s">
        <v>5</v>
      </c>
      <c r="E145" s="74" t="s">
        <v>331</v>
      </c>
      <c r="F145" s="74" t="s">
        <v>622</v>
      </c>
      <c r="G145" s="75">
        <f>SUMPRODUCT(COUNTIFS(PROGRAM_DIRECTORY!$A$2:$A$334, $N145:$AB145, PROGRAM_DIRECTORY!$D$2:$D$334, "Non-Stage", PROGRAM_DIRECTORY!$E$2:$E$334, "Individual"))</f>
        <v>0</v>
      </c>
      <c r="H145" s="75">
        <f>SUMPRODUCT(COUNTIFS(PROGRAM_DIRECTORY!$A$2:$A$334, $N145:$AB145, PROGRAM_DIRECTORY!$D$2:$D$334, "Stage", PROGRAM_DIRECTORY!$E$2:$E$334, "Individual"))</f>
        <v>0</v>
      </c>
      <c r="I145" s="75">
        <f>SUMPRODUCT(COUNTIFS(PROGRAM_DIRECTORY!$A$2:$A$334, $N145:$AB145, PROGRAM_DIRECTORY!$D$2:$D$334, "Sports"))</f>
        <v>0</v>
      </c>
      <c r="J145" s="75">
        <f>SUMPRODUCT(COUNTIFS(PROGRAM_DIRECTORY!$A$2:$A$334, $N145:$AB145, PROGRAM_DIRECTORY!$E$2:$E$334, "Individual"))</f>
        <v>0</v>
      </c>
      <c r="K145" s="75">
        <f>SUMPRODUCT(COUNTIFS(PROGRAM_DIRECTORY!$A$2:$A$334, $N145:$AB145, PROGRAM_DIRECTORY!$E$2:$E$334, "Group"))</f>
        <v>0</v>
      </c>
      <c r="L145" s="75">
        <f t="shared" si="1"/>
        <v>0</v>
      </c>
      <c r="M145" s="75" t="str">
        <f t="shared" si="2"/>
        <v>Min 1 Required (Stage &amp; Non-Stage)</v>
      </c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AC145" s="79" t="str">
        <f t="shared" si="3"/>
        <v/>
      </c>
    </row>
    <row r="146">
      <c r="A146" s="74">
        <v>290.0</v>
      </c>
      <c r="B146" s="74" t="s">
        <v>800</v>
      </c>
      <c r="C146" s="74">
        <v>5.0</v>
      </c>
      <c r="D146" s="74" t="s">
        <v>5</v>
      </c>
      <c r="E146" s="74" t="s">
        <v>195</v>
      </c>
      <c r="F146" s="74" t="s">
        <v>622</v>
      </c>
      <c r="G146" s="75">
        <f>SUMPRODUCT(COUNTIFS(PROGRAM_DIRECTORY!$A$2:$A$334, $N146:$AB146, PROGRAM_DIRECTORY!$D$2:$D$334, "Non-Stage", PROGRAM_DIRECTORY!$E$2:$E$334, "Individual"))</f>
        <v>0</v>
      </c>
      <c r="H146" s="75">
        <f>SUMPRODUCT(COUNTIFS(PROGRAM_DIRECTORY!$A$2:$A$334, $N146:$AB146, PROGRAM_DIRECTORY!$D$2:$D$334, "Stage", PROGRAM_DIRECTORY!$E$2:$E$334, "Individual"))</f>
        <v>0</v>
      </c>
      <c r="I146" s="75">
        <f>SUMPRODUCT(COUNTIFS(PROGRAM_DIRECTORY!$A$2:$A$334, $N146:$AB146, PROGRAM_DIRECTORY!$D$2:$D$334, "Sports"))</f>
        <v>0</v>
      </c>
      <c r="J146" s="75">
        <f>SUMPRODUCT(COUNTIFS(PROGRAM_DIRECTORY!$A$2:$A$334, $N146:$AB146, PROGRAM_DIRECTORY!$E$2:$E$334, "Individual"))</f>
        <v>0</v>
      </c>
      <c r="K146" s="75">
        <f>SUMPRODUCT(COUNTIFS(PROGRAM_DIRECTORY!$A$2:$A$334, $N146:$AB146, PROGRAM_DIRECTORY!$E$2:$E$334, "Group"))</f>
        <v>0</v>
      </c>
      <c r="L146" s="75">
        <f t="shared" si="1"/>
        <v>0</v>
      </c>
      <c r="M146" s="75" t="str">
        <f t="shared" si="2"/>
        <v>Min 1 Required (Stage &amp; Non-Stage)</v>
      </c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AC146" s="79" t="str">
        <f t="shared" si="3"/>
        <v/>
      </c>
    </row>
    <row r="147">
      <c r="A147" s="74">
        <v>250.0</v>
      </c>
      <c r="B147" s="74" t="s">
        <v>801</v>
      </c>
      <c r="C147" s="74">
        <v>5.0</v>
      </c>
      <c r="D147" s="74" t="s">
        <v>5</v>
      </c>
      <c r="E147" s="74" t="s">
        <v>331</v>
      </c>
      <c r="F147" s="74" t="s">
        <v>622</v>
      </c>
      <c r="G147" s="75">
        <f>SUMPRODUCT(COUNTIFS(PROGRAM_DIRECTORY!$A$2:$A$334, $N147:$AB147, PROGRAM_DIRECTORY!$D$2:$D$334, "Non-Stage", PROGRAM_DIRECTORY!$E$2:$E$334, "Individual"))</f>
        <v>0</v>
      </c>
      <c r="H147" s="75">
        <f>SUMPRODUCT(COUNTIFS(PROGRAM_DIRECTORY!$A$2:$A$334, $N147:$AB147, PROGRAM_DIRECTORY!$D$2:$D$334, "Stage", PROGRAM_DIRECTORY!$E$2:$E$334, "Individual"))</f>
        <v>0</v>
      </c>
      <c r="I147" s="75">
        <f>SUMPRODUCT(COUNTIFS(PROGRAM_DIRECTORY!$A$2:$A$334, $N147:$AB147, PROGRAM_DIRECTORY!$D$2:$D$334, "Sports"))</f>
        <v>0</v>
      </c>
      <c r="J147" s="75">
        <f>SUMPRODUCT(COUNTIFS(PROGRAM_DIRECTORY!$A$2:$A$334, $N147:$AB147, PROGRAM_DIRECTORY!$E$2:$E$334, "Individual"))</f>
        <v>0</v>
      </c>
      <c r="K147" s="75">
        <f>SUMPRODUCT(COUNTIFS(PROGRAM_DIRECTORY!$A$2:$A$334, $N147:$AB147, PROGRAM_DIRECTORY!$E$2:$E$334, "Group"))</f>
        <v>0</v>
      </c>
      <c r="L147" s="75">
        <f t="shared" si="1"/>
        <v>0</v>
      </c>
      <c r="M147" s="75" t="str">
        <f t="shared" si="2"/>
        <v>Min 1 Required (Stage &amp; Non-Stage)</v>
      </c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AC147" s="79" t="str">
        <f t="shared" si="3"/>
        <v/>
      </c>
    </row>
    <row r="148">
      <c r="A148" s="74">
        <v>251.0</v>
      </c>
      <c r="B148" s="74" t="s">
        <v>802</v>
      </c>
      <c r="C148" s="74">
        <v>5.0</v>
      </c>
      <c r="D148" s="74" t="s">
        <v>5</v>
      </c>
      <c r="E148" s="74" t="s">
        <v>195</v>
      </c>
      <c r="F148" s="74" t="s">
        <v>622</v>
      </c>
      <c r="G148" s="75">
        <f>SUMPRODUCT(COUNTIFS(PROGRAM_DIRECTORY!$A$2:$A$334, $N148:$AB148, PROGRAM_DIRECTORY!$D$2:$D$334, "Non-Stage", PROGRAM_DIRECTORY!$E$2:$E$334, "Individual"))</f>
        <v>0</v>
      </c>
      <c r="H148" s="75">
        <f>SUMPRODUCT(COUNTIFS(PROGRAM_DIRECTORY!$A$2:$A$334, $N148:$AB148, PROGRAM_DIRECTORY!$D$2:$D$334, "Stage", PROGRAM_DIRECTORY!$E$2:$E$334, "Individual"))</f>
        <v>0</v>
      </c>
      <c r="I148" s="75">
        <f>SUMPRODUCT(COUNTIFS(PROGRAM_DIRECTORY!$A$2:$A$334, $N148:$AB148, PROGRAM_DIRECTORY!$D$2:$D$334, "Sports"))</f>
        <v>0</v>
      </c>
      <c r="J148" s="75">
        <f>SUMPRODUCT(COUNTIFS(PROGRAM_DIRECTORY!$A$2:$A$334, $N148:$AB148, PROGRAM_DIRECTORY!$E$2:$E$334, "Individual"))</f>
        <v>0</v>
      </c>
      <c r="K148" s="75">
        <f>SUMPRODUCT(COUNTIFS(PROGRAM_DIRECTORY!$A$2:$A$334, $N148:$AB148, PROGRAM_DIRECTORY!$E$2:$E$334, "Group"))</f>
        <v>0</v>
      </c>
      <c r="L148" s="75">
        <f t="shared" si="1"/>
        <v>0</v>
      </c>
      <c r="M148" s="75" t="str">
        <f t="shared" si="2"/>
        <v>Min 1 Required (Stage &amp; Non-Stage)</v>
      </c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AC148" s="79" t="str">
        <f t="shared" si="3"/>
        <v/>
      </c>
    </row>
    <row r="149">
      <c r="A149" s="74">
        <v>390.0</v>
      </c>
      <c r="B149" s="74" t="s">
        <v>803</v>
      </c>
      <c r="C149" s="74">
        <v>5.0</v>
      </c>
      <c r="D149" s="74" t="s">
        <v>5</v>
      </c>
      <c r="E149" s="74" t="s">
        <v>331</v>
      </c>
      <c r="F149" s="74" t="s">
        <v>622</v>
      </c>
      <c r="G149" s="75">
        <f>SUMPRODUCT(COUNTIFS(PROGRAM_DIRECTORY!$A$2:$A$334, $N149:$AB149, PROGRAM_DIRECTORY!$D$2:$D$334, "Non-Stage", PROGRAM_DIRECTORY!$E$2:$E$334, "Individual"))</f>
        <v>0</v>
      </c>
      <c r="H149" s="75">
        <f>SUMPRODUCT(COUNTIFS(PROGRAM_DIRECTORY!$A$2:$A$334, $N149:$AB149, PROGRAM_DIRECTORY!$D$2:$D$334, "Stage", PROGRAM_DIRECTORY!$E$2:$E$334, "Individual"))</f>
        <v>0</v>
      </c>
      <c r="I149" s="75">
        <f>SUMPRODUCT(COUNTIFS(PROGRAM_DIRECTORY!$A$2:$A$334, $N149:$AB149, PROGRAM_DIRECTORY!$D$2:$D$334, "Sports"))</f>
        <v>0</v>
      </c>
      <c r="J149" s="75">
        <f>SUMPRODUCT(COUNTIFS(PROGRAM_DIRECTORY!$A$2:$A$334, $N149:$AB149, PROGRAM_DIRECTORY!$E$2:$E$334, "Individual"))</f>
        <v>0</v>
      </c>
      <c r="K149" s="75">
        <f>SUMPRODUCT(COUNTIFS(PROGRAM_DIRECTORY!$A$2:$A$334, $N149:$AB149, PROGRAM_DIRECTORY!$E$2:$E$334, "Group"))</f>
        <v>0</v>
      </c>
      <c r="L149" s="75">
        <f t="shared" si="1"/>
        <v>0</v>
      </c>
      <c r="M149" s="75" t="str">
        <f t="shared" si="2"/>
        <v>Min 1 Required (Stage &amp; Non-Stage)</v>
      </c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AC149" s="79" t="str">
        <f t="shared" si="3"/>
        <v/>
      </c>
    </row>
    <row r="150">
      <c r="A150" s="74">
        <v>259.0</v>
      </c>
      <c r="B150" s="74" t="s">
        <v>804</v>
      </c>
      <c r="C150" s="74">
        <v>5.0</v>
      </c>
      <c r="D150" s="74" t="s">
        <v>5</v>
      </c>
      <c r="E150" s="74" t="s">
        <v>380</v>
      </c>
      <c r="F150" s="74" t="s">
        <v>622</v>
      </c>
      <c r="G150" s="75">
        <f>SUMPRODUCT(COUNTIFS(PROGRAM_DIRECTORY!$A$2:$A$334, $N150:$AB150, PROGRAM_DIRECTORY!$D$2:$D$334, "Non-Stage", PROGRAM_DIRECTORY!$E$2:$E$334, "Individual"))</f>
        <v>0</v>
      </c>
      <c r="H150" s="75">
        <f>SUMPRODUCT(COUNTIFS(PROGRAM_DIRECTORY!$A$2:$A$334, $N150:$AB150, PROGRAM_DIRECTORY!$D$2:$D$334, "Stage", PROGRAM_DIRECTORY!$E$2:$E$334, "Individual"))</f>
        <v>0</v>
      </c>
      <c r="I150" s="75">
        <f>SUMPRODUCT(COUNTIFS(PROGRAM_DIRECTORY!$A$2:$A$334, $N150:$AB150, PROGRAM_DIRECTORY!$D$2:$D$334, "Sports"))</f>
        <v>0</v>
      </c>
      <c r="J150" s="75">
        <f>SUMPRODUCT(COUNTIFS(PROGRAM_DIRECTORY!$A$2:$A$334, $N150:$AB150, PROGRAM_DIRECTORY!$E$2:$E$334, "Individual"))</f>
        <v>0</v>
      </c>
      <c r="K150" s="75">
        <f>SUMPRODUCT(COUNTIFS(PROGRAM_DIRECTORY!$A$2:$A$334, $N150:$AB150, PROGRAM_DIRECTORY!$E$2:$E$334, "Group"))</f>
        <v>0</v>
      </c>
      <c r="L150" s="75">
        <f t="shared" si="1"/>
        <v>0</v>
      </c>
      <c r="M150" s="75" t="str">
        <f t="shared" si="2"/>
        <v>Min 1 Required (Stage &amp; Non-Stage)</v>
      </c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AC150" s="79" t="str">
        <f t="shared" si="3"/>
        <v/>
      </c>
    </row>
    <row r="151">
      <c r="A151" s="74">
        <v>285.0</v>
      </c>
      <c r="B151" s="74" t="s">
        <v>805</v>
      </c>
      <c r="C151" s="74">
        <v>5.0</v>
      </c>
      <c r="D151" s="74" t="s">
        <v>5</v>
      </c>
      <c r="E151" s="74" t="s">
        <v>450</v>
      </c>
      <c r="F151" s="74" t="s">
        <v>622</v>
      </c>
      <c r="G151" s="75">
        <f>SUMPRODUCT(COUNTIFS(PROGRAM_DIRECTORY!$A$2:$A$334, $N151:$AB151, PROGRAM_DIRECTORY!$D$2:$D$334, "Non-Stage", PROGRAM_DIRECTORY!$E$2:$E$334, "Individual"))</f>
        <v>0</v>
      </c>
      <c r="H151" s="75">
        <f>SUMPRODUCT(COUNTIFS(PROGRAM_DIRECTORY!$A$2:$A$334, $N151:$AB151, PROGRAM_DIRECTORY!$D$2:$D$334, "Stage", PROGRAM_DIRECTORY!$E$2:$E$334, "Individual"))</f>
        <v>0</v>
      </c>
      <c r="I151" s="75">
        <f>SUMPRODUCT(COUNTIFS(PROGRAM_DIRECTORY!$A$2:$A$334, $N151:$AB151, PROGRAM_DIRECTORY!$D$2:$D$334, "Sports"))</f>
        <v>0</v>
      </c>
      <c r="J151" s="75">
        <f>SUMPRODUCT(COUNTIFS(PROGRAM_DIRECTORY!$A$2:$A$334, $N151:$AB151, PROGRAM_DIRECTORY!$E$2:$E$334, "Individual"))</f>
        <v>0</v>
      </c>
      <c r="K151" s="75">
        <f>SUMPRODUCT(COUNTIFS(PROGRAM_DIRECTORY!$A$2:$A$334, $N151:$AB151, PROGRAM_DIRECTORY!$E$2:$E$334, "Group"))</f>
        <v>0</v>
      </c>
      <c r="L151" s="75">
        <f t="shared" si="1"/>
        <v>0</v>
      </c>
      <c r="M151" s="75" t="str">
        <f t="shared" si="2"/>
        <v>Min 1 Required (Stage &amp; Non-Stage)</v>
      </c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AC151" s="79" t="str">
        <f t="shared" si="3"/>
        <v/>
      </c>
    </row>
    <row r="152">
      <c r="A152" s="74">
        <v>265.0</v>
      </c>
      <c r="B152" s="74" t="s">
        <v>806</v>
      </c>
      <c r="C152" s="74">
        <v>5.0</v>
      </c>
      <c r="D152" s="74" t="s">
        <v>5</v>
      </c>
      <c r="E152" s="74" t="s">
        <v>450</v>
      </c>
      <c r="F152" s="74" t="s">
        <v>622</v>
      </c>
      <c r="G152" s="75">
        <f>SUMPRODUCT(COUNTIFS(PROGRAM_DIRECTORY!$A$2:$A$334, $N152:$AB152, PROGRAM_DIRECTORY!$D$2:$D$334, "Non-Stage", PROGRAM_DIRECTORY!$E$2:$E$334, "Individual"))</f>
        <v>0</v>
      </c>
      <c r="H152" s="75">
        <f>SUMPRODUCT(COUNTIFS(PROGRAM_DIRECTORY!$A$2:$A$334, $N152:$AB152, PROGRAM_DIRECTORY!$D$2:$D$334, "Stage", PROGRAM_DIRECTORY!$E$2:$E$334, "Individual"))</f>
        <v>0</v>
      </c>
      <c r="I152" s="75">
        <f>SUMPRODUCT(COUNTIFS(PROGRAM_DIRECTORY!$A$2:$A$334, $N152:$AB152, PROGRAM_DIRECTORY!$D$2:$D$334, "Sports"))</f>
        <v>0</v>
      </c>
      <c r="J152" s="75">
        <f>SUMPRODUCT(COUNTIFS(PROGRAM_DIRECTORY!$A$2:$A$334, $N152:$AB152, PROGRAM_DIRECTORY!$E$2:$E$334, "Individual"))</f>
        <v>0</v>
      </c>
      <c r="K152" s="75">
        <f>SUMPRODUCT(COUNTIFS(PROGRAM_DIRECTORY!$A$2:$A$334, $N152:$AB152, PROGRAM_DIRECTORY!$E$2:$E$334, "Group"))</f>
        <v>0</v>
      </c>
      <c r="L152" s="75">
        <f t="shared" si="1"/>
        <v>0</v>
      </c>
      <c r="M152" s="75" t="str">
        <f t="shared" si="2"/>
        <v>Min 1 Required (Stage &amp; Non-Stage)</v>
      </c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AC152" s="79" t="str">
        <f t="shared" si="3"/>
        <v/>
      </c>
    </row>
    <row r="153">
      <c r="A153" s="74">
        <v>279.0</v>
      </c>
      <c r="B153" s="74" t="s">
        <v>807</v>
      </c>
      <c r="C153" s="74">
        <v>5.0</v>
      </c>
      <c r="D153" s="74" t="s">
        <v>5</v>
      </c>
      <c r="E153" s="74" t="s">
        <v>331</v>
      </c>
      <c r="F153" s="74" t="s">
        <v>622</v>
      </c>
      <c r="G153" s="75">
        <f>SUMPRODUCT(COUNTIFS(PROGRAM_DIRECTORY!$A$2:$A$334, $N153:$AB153, PROGRAM_DIRECTORY!$D$2:$D$334, "Non-Stage", PROGRAM_DIRECTORY!$E$2:$E$334, "Individual"))</f>
        <v>0</v>
      </c>
      <c r="H153" s="75">
        <f>SUMPRODUCT(COUNTIFS(PROGRAM_DIRECTORY!$A$2:$A$334, $N153:$AB153, PROGRAM_DIRECTORY!$D$2:$D$334, "Stage", PROGRAM_DIRECTORY!$E$2:$E$334, "Individual"))</f>
        <v>0</v>
      </c>
      <c r="I153" s="75">
        <f>SUMPRODUCT(COUNTIFS(PROGRAM_DIRECTORY!$A$2:$A$334, $N153:$AB153, PROGRAM_DIRECTORY!$D$2:$D$334, "Sports"))</f>
        <v>0</v>
      </c>
      <c r="J153" s="75">
        <f>SUMPRODUCT(COUNTIFS(PROGRAM_DIRECTORY!$A$2:$A$334, $N153:$AB153, PROGRAM_DIRECTORY!$E$2:$E$334, "Individual"))</f>
        <v>0</v>
      </c>
      <c r="K153" s="75">
        <f>SUMPRODUCT(COUNTIFS(PROGRAM_DIRECTORY!$A$2:$A$334, $N153:$AB153, PROGRAM_DIRECTORY!$E$2:$E$334, "Group"))</f>
        <v>0</v>
      </c>
      <c r="L153" s="75">
        <f t="shared" si="1"/>
        <v>0</v>
      </c>
      <c r="M153" s="75" t="str">
        <f t="shared" si="2"/>
        <v>Min 1 Required (Stage &amp; Non-Stage)</v>
      </c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AC153" s="79" t="str">
        <f t="shared" si="3"/>
        <v/>
      </c>
    </row>
    <row r="154">
      <c r="A154" s="74">
        <v>272.0</v>
      </c>
      <c r="B154" s="74" t="s">
        <v>808</v>
      </c>
      <c r="C154" s="74">
        <v>5.0</v>
      </c>
      <c r="D154" s="74" t="s">
        <v>5</v>
      </c>
      <c r="E154" s="74" t="s">
        <v>195</v>
      </c>
      <c r="F154" s="74" t="s">
        <v>622</v>
      </c>
      <c r="G154" s="75">
        <f>SUMPRODUCT(COUNTIFS(PROGRAM_DIRECTORY!$A$2:$A$334, $N154:$AB154, PROGRAM_DIRECTORY!$D$2:$D$334, "Non-Stage", PROGRAM_DIRECTORY!$E$2:$E$334, "Individual"))</f>
        <v>0</v>
      </c>
      <c r="H154" s="75">
        <f>SUMPRODUCT(COUNTIFS(PROGRAM_DIRECTORY!$A$2:$A$334, $N154:$AB154, PROGRAM_DIRECTORY!$D$2:$D$334, "Stage", PROGRAM_DIRECTORY!$E$2:$E$334, "Individual"))</f>
        <v>0</v>
      </c>
      <c r="I154" s="75">
        <f>SUMPRODUCT(COUNTIFS(PROGRAM_DIRECTORY!$A$2:$A$334, $N154:$AB154, PROGRAM_DIRECTORY!$D$2:$D$334, "Sports"))</f>
        <v>0</v>
      </c>
      <c r="J154" s="75">
        <f>SUMPRODUCT(COUNTIFS(PROGRAM_DIRECTORY!$A$2:$A$334, $N154:$AB154, PROGRAM_DIRECTORY!$E$2:$E$334, "Individual"))</f>
        <v>0</v>
      </c>
      <c r="K154" s="75">
        <f>SUMPRODUCT(COUNTIFS(PROGRAM_DIRECTORY!$A$2:$A$334, $N154:$AB154, PROGRAM_DIRECTORY!$E$2:$E$334, "Group"))</f>
        <v>0</v>
      </c>
      <c r="L154" s="75">
        <f t="shared" si="1"/>
        <v>0</v>
      </c>
      <c r="M154" s="75" t="str">
        <f t="shared" si="2"/>
        <v>Min 1 Required (Stage &amp; Non-Stage)</v>
      </c>
      <c r="N154" s="74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AC154" s="79" t="str">
        <f t="shared" si="3"/>
        <v/>
      </c>
    </row>
    <row r="155">
      <c r="A155" s="74">
        <v>395.0</v>
      </c>
      <c r="B155" s="74" t="s">
        <v>809</v>
      </c>
      <c r="C155" s="74">
        <v>5.0</v>
      </c>
      <c r="D155" s="74" t="s">
        <v>5</v>
      </c>
      <c r="E155" s="74" t="s">
        <v>380</v>
      </c>
      <c r="F155" s="74" t="s">
        <v>622</v>
      </c>
      <c r="G155" s="75">
        <f>SUMPRODUCT(COUNTIFS(PROGRAM_DIRECTORY!$A$2:$A$334, $N155:$AB155, PROGRAM_DIRECTORY!$D$2:$D$334, "Non-Stage", PROGRAM_DIRECTORY!$E$2:$E$334, "Individual"))</f>
        <v>0</v>
      </c>
      <c r="H155" s="75">
        <f>SUMPRODUCT(COUNTIFS(PROGRAM_DIRECTORY!$A$2:$A$334, $N155:$AB155, PROGRAM_DIRECTORY!$D$2:$D$334, "Stage", PROGRAM_DIRECTORY!$E$2:$E$334, "Individual"))</f>
        <v>0</v>
      </c>
      <c r="I155" s="75">
        <f>SUMPRODUCT(COUNTIFS(PROGRAM_DIRECTORY!$A$2:$A$334, $N155:$AB155, PROGRAM_DIRECTORY!$D$2:$D$334, "Sports"))</f>
        <v>0</v>
      </c>
      <c r="J155" s="75">
        <f>SUMPRODUCT(COUNTIFS(PROGRAM_DIRECTORY!$A$2:$A$334, $N155:$AB155, PROGRAM_DIRECTORY!$E$2:$E$334, "Individual"))</f>
        <v>0</v>
      </c>
      <c r="K155" s="75">
        <f>SUMPRODUCT(COUNTIFS(PROGRAM_DIRECTORY!$A$2:$A$334, $N155:$AB155, PROGRAM_DIRECTORY!$E$2:$E$334, "Group"))</f>
        <v>0</v>
      </c>
      <c r="L155" s="75">
        <f t="shared" si="1"/>
        <v>0</v>
      </c>
      <c r="M155" s="75" t="str">
        <f t="shared" si="2"/>
        <v>Min 1 Required (Stage &amp; Non-Stage)</v>
      </c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AC155" s="79" t="str">
        <f t="shared" si="3"/>
        <v/>
      </c>
    </row>
    <row r="156">
      <c r="A156" s="74">
        <v>266.0</v>
      </c>
      <c r="B156" s="74" t="s">
        <v>810</v>
      </c>
      <c r="C156" s="74">
        <v>5.0</v>
      </c>
      <c r="D156" s="74" t="s">
        <v>5</v>
      </c>
      <c r="E156" s="74" t="s">
        <v>195</v>
      </c>
      <c r="F156" s="74" t="s">
        <v>622</v>
      </c>
      <c r="G156" s="75">
        <f>SUMPRODUCT(COUNTIFS(PROGRAM_DIRECTORY!$A$2:$A$334, $N156:$AB156, PROGRAM_DIRECTORY!$D$2:$D$334, "Non-Stage", PROGRAM_DIRECTORY!$E$2:$E$334, "Individual"))</f>
        <v>0</v>
      </c>
      <c r="H156" s="75">
        <f>SUMPRODUCT(COUNTIFS(PROGRAM_DIRECTORY!$A$2:$A$334, $N156:$AB156, PROGRAM_DIRECTORY!$D$2:$D$334, "Stage", PROGRAM_DIRECTORY!$E$2:$E$334, "Individual"))</f>
        <v>0</v>
      </c>
      <c r="I156" s="75">
        <f>SUMPRODUCT(COUNTIFS(PROGRAM_DIRECTORY!$A$2:$A$334, $N156:$AB156, PROGRAM_DIRECTORY!$D$2:$D$334, "Sports"))</f>
        <v>0</v>
      </c>
      <c r="J156" s="75">
        <f>SUMPRODUCT(COUNTIFS(PROGRAM_DIRECTORY!$A$2:$A$334, $N156:$AB156, PROGRAM_DIRECTORY!$E$2:$E$334, "Individual"))</f>
        <v>0</v>
      </c>
      <c r="K156" s="75">
        <f>SUMPRODUCT(COUNTIFS(PROGRAM_DIRECTORY!$A$2:$A$334, $N156:$AB156, PROGRAM_DIRECTORY!$E$2:$E$334, "Group"))</f>
        <v>0</v>
      </c>
      <c r="L156" s="75">
        <f t="shared" si="1"/>
        <v>0</v>
      </c>
      <c r="M156" s="75" t="str">
        <f t="shared" si="2"/>
        <v>Min 1 Required (Stage &amp; Non-Stage)</v>
      </c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AC156" s="79" t="str">
        <f t="shared" si="3"/>
        <v/>
      </c>
    </row>
    <row r="157">
      <c r="A157" s="74">
        <v>256.0</v>
      </c>
      <c r="B157" s="74" t="s">
        <v>811</v>
      </c>
      <c r="C157" s="74">
        <v>5.0</v>
      </c>
      <c r="D157" s="74" t="s">
        <v>5</v>
      </c>
      <c r="E157" s="74" t="s">
        <v>195</v>
      </c>
      <c r="F157" s="74" t="s">
        <v>622</v>
      </c>
      <c r="G157" s="75">
        <f>SUMPRODUCT(COUNTIFS(PROGRAM_DIRECTORY!$A$2:$A$334, $N157:$AB157, PROGRAM_DIRECTORY!$D$2:$D$334, "Non-Stage", PROGRAM_DIRECTORY!$E$2:$E$334, "Individual"))</f>
        <v>0</v>
      </c>
      <c r="H157" s="75">
        <f>SUMPRODUCT(COUNTIFS(PROGRAM_DIRECTORY!$A$2:$A$334, $N157:$AB157, PROGRAM_DIRECTORY!$D$2:$D$334, "Stage", PROGRAM_DIRECTORY!$E$2:$E$334, "Individual"))</f>
        <v>0</v>
      </c>
      <c r="I157" s="75">
        <f>SUMPRODUCT(COUNTIFS(PROGRAM_DIRECTORY!$A$2:$A$334, $N157:$AB157, PROGRAM_DIRECTORY!$D$2:$D$334, "Sports"))</f>
        <v>0</v>
      </c>
      <c r="J157" s="75">
        <f>SUMPRODUCT(COUNTIFS(PROGRAM_DIRECTORY!$A$2:$A$334, $N157:$AB157, PROGRAM_DIRECTORY!$E$2:$E$334, "Individual"))</f>
        <v>0</v>
      </c>
      <c r="K157" s="75">
        <f>SUMPRODUCT(COUNTIFS(PROGRAM_DIRECTORY!$A$2:$A$334, $N157:$AB157, PROGRAM_DIRECTORY!$E$2:$E$334, "Group"))</f>
        <v>0</v>
      </c>
      <c r="L157" s="75">
        <f t="shared" si="1"/>
        <v>0</v>
      </c>
      <c r="M157" s="75" t="str">
        <f t="shared" si="2"/>
        <v>Min 1 Required (Stage &amp; Non-Stage)</v>
      </c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AC157" s="79" t="str">
        <f t="shared" si="3"/>
        <v/>
      </c>
    </row>
    <row r="158">
      <c r="A158" s="74">
        <v>288.0</v>
      </c>
      <c r="B158" s="74" t="s">
        <v>812</v>
      </c>
      <c r="C158" s="74">
        <v>5.0</v>
      </c>
      <c r="D158" s="74" t="s">
        <v>5</v>
      </c>
      <c r="E158" s="74" t="s">
        <v>331</v>
      </c>
      <c r="F158" s="74" t="s">
        <v>622</v>
      </c>
      <c r="G158" s="75">
        <f>SUMPRODUCT(COUNTIFS(PROGRAM_DIRECTORY!$A$2:$A$334, $N158:$AB158, PROGRAM_DIRECTORY!$D$2:$D$334, "Non-Stage", PROGRAM_DIRECTORY!$E$2:$E$334, "Individual"))</f>
        <v>0</v>
      </c>
      <c r="H158" s="75">
        <f>SUMPRODUCT(COUNTIFS(PROGRAM_DIRECTORY!$A$2:$A$334, $N158:$AB158, PROGRAM_DIRECTORY!$D$2:$D$334, "Stage", PROGRAM_DIRECTORY!$E$2:$E$334, "Individual"))</f>
        <v>0</v>
      </c>
      <c r="I158" s="75">
        <f>SUMPRODUCT(COUNTIFS(PROGRAM_DIRECTORY!$A$2:$A$334, $N158:$AB158, PROGRAM_DIRECTORY!$D$2:$D$334, "Sports"))</f>
        <v>0</v>
      </c>
      <c r="J158" s="75">
        <f>SUMPRODUCT(COUNTIFS(PROGRAM_DIRECTORY!$A$2:$A$334, $N158:$AB158, PROGRAM_DIRECTORY!$E$2:$E$334, "Individual"))</f>
        <v>0</v>
      </c>
      <c r="K158" s="75">
        <f>SUMPRODUCT(COUNTIFS(PROGRAM_DIRECTORY!$A$2:$A$334, $N158:$AB158, PROGRAM_DIRECTORY!$E$2:$E$334, "Group"))</f>
        <v>0</v>
      </c>
      <c r="L158" s="75">
        <f t="shared" si="1"/>
        <v>0</v>
      </c>
      <c r="M158" s="75" t="str">
        <f t="shared" si="2"/>
        <v>Min 1 Required (Stage &amp; Non-Stage)</v>
      </c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AC158" s="79" t="str">
        <f t="shared" si="3"/>
        <v/>
      </c>
    </row>
    <row r="159">
      <c r="A159" s="74">
        <v>286.0</v>
      </c>
      <c r="B159" s="74" t="s">
        <v>813</v>
      </c>
      <c r="C159" s="74">
        <v>5.0</v>
      </c>
      <c r="D159" s="74" t="s">
        <v>5</v>
      </c>
      <c r="E159" s="74" t="s">
        <v>195</v>
      </c>
      <c r="F159" s="74" t="s">
        <v>622</v>
      </c>
      <c r="G159" s="75">
        <f>SUMPRODUCT(COUNTIFS(PROGRAM_DIRECTORY!$A$2:$A$334, $N159:$AB159, PROGRAM_DIRECTORY!$D$2:$D$334, "Non-Stage", PROGRAM_DIRECTORY!$E$2:$E$334, "Individual"))</f>
        <v>0</v>
      </c>
      <c r="H159" s="75">
        <f>SUMPRODUCT(COUNTIFS(PROGRAM_DIRECTORY!$A$2:$A$334, $N159:$AB159, PROGRAM_DIRECTORY!$D$2:$D$334, "Stage", PROGRAM_DIRECTORY!$E$2:$E$334, "Individual"))</f>
        <v>0</v>
      </c>
      <c r="I159" s="75">
        <f>SUMPRODUCT(COUNTIFS(PROGRAM_DIRECTORY!$A$2:$A$334, $N159:$AB159, PROGRAM_DIRECTORY!$D$2:$D$334, "Sports"))</f>
        <v>0</v>
      </c>
      <c r="J159" s="75">
        <f>SUMPRODUCT(COUNTIFS(PROGRAM_DIRECTORY!$A$2:$A$334, $N159:$AB159, PROGRAM_DIRECTORY!$E$2:$E$334, "Individual"))</f>
        <v>0</v>
      </c>
      <c r="K159" s="75">
        <f>SUMPRODUCT(COUNTIFS(PROGRAM_DIRECTORY!$A$2:$A$334, $N159:$AB159, PROGRAM_DIRECTORY!$E$2:$E$334, "Group"))</f>
        <v>0</v>
      </c>
      <c r="L159" s="75">
        <f t="shared" si="1"/>
        <v>0</v>
      </c>
      <c r="M159" s="75" t="str">
        <f t="shared" si="2"/>
        <v>Min 1 Required (Stage &amp; Non-Stage)</v>
      </c>
      <c r="N159" s="74"/>
      <c r="O159" s="74"/>
      <c r="P159" s="74"/>
      <c r="Q159" s="74"/>
      <c r="R159" s="74"/>
      <c r="S159" s="74"/>
      <c r="T159" s="74"/>
      <c r="U159" s="74"/>
      <c r="V159" s="74"/>
      <c r="W159" s="75"/>
      <c r="X159" s="75"/>
      <c r="AC159" s="79" t="str">
        <f t="shared" si="3"/>
        <v/>
      </c>
    </row>
    <row r="160">
      <c r="A160" s="74">
        <v>287.0</v>
      </c>
      <c r="B160" s="74" t="s">
        <v>814</v>
      </c>
      <c r="C160" s="74">
        <v>5.0</v>
      </c>
      <c r="D160" s="74" t="s">
        <v>5</v>
      </c>
      <c r="E160" s="74" t="s">
        <v>380</v>
      </c>
      <c r="F160" s="74" t="s">
        <v>622</v>
      </c>
      <c r="G160" s="75">
        <f>SUMPRODUCT(COUNTIFS(PROGRAM_DIRECTORY!$A$2:$A$334, $N160:$AB160, PROGRAM_DIRECTORY!$D$2:$D$334, "Non-Stage", PROGRAM_DIRECTORY!$E$2:$E$334, "Individual"))</f>
        <v>0</v>
      </c>
      <c r="H160" s="75">
        <f>SUMPRODUCT(COUNTIFS(PROGRAM_DIRECTORY!$A$2:$A$334, $N160:$AB160, PROGRAM_DIRECTORY!$D$2:$D$334, "Stage", PROGRAM_DIRECTORY!$E$2:$E$334, "Individual"))</f>
        <v>0</v>
      </c>
      <c r="I160" s="75">
        <f>SUMPRODUCT(COUNTIFS(PROGRAM_DIRECTORY!$A$2:$A$334, $N160:$AB160, PROGRAM_DIRECTORY!$D$2:$D$334, "Sports"))</f>
        <v>0</v>
      </c>
      <c r="J160" s="75">
        <f>SUMPRODUCT(COUNTIFS(PROGRAM_DIRECTORY!$A$2:$A$334, $N160:$AB160, PROGRAM_DIRECTORY!$E$2:$E$334, "Individual"))</f>
        <v>0</v>
      </c>
      <c r="K160" s="75">
        <f>SUMPRODUCT(COUNTIFS(PROGRAM_DIRECTORY!$A$2:$A$334, $N160:$AB160, PROGRAM_DIRECTORY!$E$2:$E$334, "Group"))</f>
        <v>0</v>
      </c>
      <c r="L160" s="75">
        <f t="shared" si="1"/>
        <v>0</v>
      </c>
      <c r="M160" s="75" t="str">
        <f t="shared" si="2"/>
        <v>Min 1 Required (Stage &amp; Non-Stage)</v>
      </c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AC160" s="79" t="str">
        <f t="shared" si="3"/>
        <v/>
      </c>
    </row>
    <row r="161">
      <c r="A161" s="74">
        <v>258.0</v>
      </c>
      <c r="B161" s="74" t="s">
        <v>815</v>
      </c>
      <c r="C161" s="74">
        <v>5.0</v>
      </c>
      <c r="D161" s="74" t="s">
        <v>5</v>
      </c>
      <c r="E161" s="74" t="s">
        <v>380</v>
      </c>
      <c r="F161" s="74" t="s">
        <v>622</v>
      </c>
      <c r="G161" s="75">
        <f>SUMPRODUCT(COUNTIFS(PROGRAM_DIRECTORY!$A$2:$A$334, $N161:$AB161, PROGRAM_DIRECTORY!$D$2:$D$334, "Non-Stage", PROGRAM_DIRECTORY!$E$2:$E$334, "Individual"))</f>
        <v>0</v>
      </c>
      <c r="H161" s="75">
        <f>SUMPRODUCT(COUNTIFS(PROGRAM_DIRECTORY!$A$2:$A$334, $N161:$AB161, PROGRAM_DIRECTORY!$D$2:$D$334, "Stage", PROGRAM_DIRECTORY!$E$2:$E$334, "Individual"))</f>
        <v>0</v>
      </c>
      <c r="I161" s="75">
        <f>SUMPRODUCT(COUNTIFS(PROGRAM_DIRECTORY!$A$2:$A$334, $N161:$AB161, PROGRAM_DIRECTORY!$D$2:$D$334, "Sports"))</f>
        <v>0</v>
      </c>
      <c r="J161" s="75">
        <f>SUMPRODUCT(COUNTIFS(PROGRAM_DIRECTORY!$A$2:$A$334, $N161:$AB161, PROGRAM_DIRECTORY!$E$2:$E$334, "Individual"))</f>
        <v>0</v>
      </c>
      <c r="K161" s="75">
        <f>SUMPRODUCT(COUNTIFS(PROGRAM_DIRECTORY!$A$2:$A$334, $N161:$AB161, PROGRAM_DIRECTORY!$E$2:$E$334, "Group"))</f>
        <v>0</v>
      </c>
      <c r="L161" s="75">
        <f t="shared" si="1"/>
        <v>0</v>
      </c>
      <c r="M161" s="75" t="str">
        <f t="shared" si="2"/>
        <v>Min 1 Required (Stage &amp; Non-Stage)</v>
      </c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AC161" s="79" t="str">
        <f t="shared" si="3"/>
        <v/>
      </c>
    </row>
    <row r="162">
      <c r="A162" s="74">
        <v>230.0</v>
      </c>
      <c r="B162" s="74" t="s">
        <v>816</v>
      </c>
      <c r="C162" s="74">
        <v>5.0</v>
      </c>
      <c r="D162" s="74" t="s">
        <v>5</v>
      </c>
      <c r="E162" s="74" t="s">
        <v>450</v>
      </c>
      <c r="F162" s="74" t="s">
        <v>622</v>
      </c>
      <c r="G162" s="75">
        <f>SUMPRODUCT(COUNTIFS(PROGRAM_DIRECTORY!$A$2:$A$334, $N162:$AB162, PROGRAM_DIRECTORY!$D$2:$D$334, "Non-Stage", PROGRAM_DIRECTORY!$E$2:$E$334, "Individual"))</f>
        <v>0</v>
      </c>
      <c r="H162" s="75">
        <f>SUMPRODUCT(COUNTIFS(PROGRAM_DIRECTORY!$A$2:$A$334, $N162:$AB162, PROGRAM_DIRECTORY!$D$2:$D$334, "Stage", PROGRAM_DIRECTORY!$E$2:$E$334, "Individual"))</f>
        <v>0</v>
      </c>
      <c r="I162" s="75">
        <f>SUMPRODUCT(COUNTIFS(PROGRAM_DIRECTORY!$A$2:$A$334, $N162:$AB162, PROGRAM_DIRECTORY!$D$2:$D$334, "Sports"))</f>
        <v>0</v>
      </c>
      <c r="J162" s="75">
        <f>SUMPRODUCT(COUNTIFS(PROGRAM_DIRECTORY!$A$2:$A$334, $N162:$AB162, PROGRAM_DIRECTORY!$E$2:$E$334, "Individual"))</f>
        <v>0</v>
      </c>
      <c r="K162" s="75">
        <f>SUMPRODUCT(COUNTIFS(PROGRAM_DIRECTORY!$A$2:$A$334, $N162:$AB162, PROGRAM_DIRECTORY!$E$2:$E$334, "Group"))</f>
        <v>0</v>
      </c>
      <c r="L162" s="75">
        <f t="shared" si="1"/>
        <v>0</v>
      </c>
      <c r="M162" s="75" t="str">
        <f t="shared" si="2"/>
        <v>Min 1 Required (Stage &amp; Non-Stage)</v>
      </c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AC162" s="79" t="str">
        <f t="shared" si="3"/>
        <v/>
      </c>
    </row>
    <row r="163">
      <c r="A163" s="74">
        <v>276.0</v>
      </c>
      <c r="B163" s="74" t="s">
        <v>817</v>
      </c>
      <c r="C163" s="74">
        <v>5.0</v>
      </c>
      <c r="D163" s="74" t="s">
        <v>5</v>
      </c>
      <c r="E163" s="74" t="s">
        <v>380</v>
      </c>
      <c r="F163" s="74" t="s">
        <v>622</v>
      </c>
      <c r="G163" s="75">
        <f>SUMPRODUCT(COUNTIFS(PROGRAM_DIRECTORY!$A$2:$A$334, $N163:$AB163, PROGRAM_DIRECTORY!$D$2:$D$334, "Non-Stage", PROGRAM_DIRECTORY!$E$2:$E$334, "Individual"))</f>
        <v>0</v>
      </c>
      <c r="H163" s="75">
        <f>SUMPRODUCT(COUNTIFS(PROGRAM_DIRECTORY!$A$2:$A$334, $N163:$AB163, PROGRAM_DIRECTORY!$D$2:$D$334, "Stage", PROGRAM_DIRECTORY!$E$2:$E$334, "Individual"))</f>
        <v>0</v>
      </c>
      <c r="I163" s="75">
        <f>SUMPRODUCT(COUNTIFS(PROGRAM_DIRECTORY!$A$2:$A$334, $N163:$AB163, PROGRAM_DIRECTORY!$D$2:$D$334, "Sports"))</f>
        <v>0</v>
      </c>
      <c r="J163" s="75">
        <f>SUMPRODUCT(COUNTIFS(PROGRAM_DIRECTORY!$A$2:$A$334, $N163:$AB163, PROGRAM_DIRECTORY!$E$2:$E$334, "Individual"))</f>
        <v>0</v>
      </c>
      <c r="K163" s="75">
        <f>SUMPRODUCT(COUNTIFS(PROGRAM_DIRECTORY!$A$2:$A$334, $N163:$AB163, PROGRAM_DIRECTORY!$E$2:$E$334, "Group"))</f>
        <v>0</v>
      </c>
      <c r="L163" s="75">
        <f t="shared" si="1"/>
        <v>0</v>
      </c>
      <c r="M163" s="75" t="str">
        <f t="shared" si="2"/>
        <v>Min 1 Required (Stage &amp; Non-Stage)</v>
      </c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AC163" s="79" t="str">
        <f t="shared" si="3"/>
        <v/>
      </c>
    </row>
    <row r="164">
      <c r="A164" s="74">
        <v>292.0</v>
      </c>
      <c r="B164" s="74" t="s">
        <v>818</v>
      </c>
      <c r="C164" s="74">
        <v>5.0</v>
      </c>
      <c r="D164" s="74" t="s">
        <v>5</v>
      </c>
      <c r="E164" s="74" t="s">
        <v>331</v>
      </c>
      <c r="F164" s="74" t="s">
        <v>622</v>
      </c>
      <c r="G164" s="75">
        <f>SUMPRODUCT(COUNTIFS(PROGRAM_DIRECTORY!$A$2:$A$334, $N164:$AB164, PROGRAM_DIRECTORY!$D$2:$D$334, "Non-Stage", PROGRAM_DIRECTORY!$E$2:$E$334, "Individual"))</f>
        <v>0</v>
      </c>
      <c r="H164" s="75">
        <f>SUMPRODUCT(COUNTIFS(PROGRAM_DIRECTORY!$A$2:$A$334, $N164:$AB164, PROGRAM_DIRECTORY!$D$2:$D$334, "Stage", PROGRAM_DIRECTORY!$E$2:$E$334, "Individual"))</f>
        <v>0</v>
      </c>
      <c r="I164" s="75">
        <f>SUMPRODUCT(COUNTIFS(PROGRAM_DIRECTORY!$A$2:$A$334, $N164:$AB164, PROGRAM_DIRECTORY!$D$2:$D$334, "Sports"))</f>
        <v>0</v>
      </c>
      <c r="J164" s="75">
        <f>SUMPRODUCT(COUNTIFS(PROGRAM_DIRECTORY!$A$2:$A$334, $N164:$AB164, PROGRAM_DIRECTORY!$E$2:$E$334, "Individual"))</f>
        <v>0</v>
      </c>
      <c r="K164" s="75">
        <f>SUMPRODUCT(COUNTIFS(PROGRAM_DIRECTORY!$A$2:$A$334, $N164:$AB164, PROGRAM_DIRECTORY!$E$2:$E$334, "Group"))</f>
        <v>0</v>
      </c>
      <c r="L164" s="75">
        <f t="shared" si="1"/>
        <v>0</v>
      </c>
      <c r="M164" s="75" t="str">
        <f t="shared" si="2"/>
        <v>Min 1 Required (Stage &amp; Non-Stage)</v>
      </c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AC164" s="79" t="str">
        <f t="shared" si="3"/>
        <v/>
      </c>
    </row>
    <row r="165">
      <c r="A165" s="74">
        <v>261.0</v>
      </c>
      <c r="B165" s="74" t="s">
        <v>819</v>
      </c>
      <c r="C165" s="74">
        <v>5.0</v>
      </c>
      <c r="D165" s="74" t="s">
        <v>5</v>
      </c>
      <c r="E165" s="74" t="s">
        <v>380</v>
      </c>
      <c r="F165" s="74" t="s">
        <v>622</v>
      </c>
      <c r="G165" s="75">
        <f>SUMPRODUCT(COUNTIFS(PROGRAM_DIRECTORY!$A$2:$A$334, $N165:$AB165, PROGRAM_DIRECTORY!$D$2:$D$334, "Non-Stage", PROGRAM_DIRECTORY!$E$2:$E$334, "Individual"))</f>
        <v>0</v>
      </c>
      <c r="H165" s="75">
        <f>SUMPRODUCT(COUNTIFS(PROGRAM_DIRECTORY!$A$2:$A$334, $N165:$AB165, PROGRAM_DIRECTORY!$D$2:$D$334, "Stage", PROGRAM_DIRECTORY!$E$2:$E$334, "Individual"))</f>
        <v>0</v>
      </c>
      <c r="I165" s="75">
        <f>SUMPRODUCT(COUNTIFS(PROGRAM_DIRECTORY!$A$2:$A$334, $N165:$AB165, PROGRAM_DIRECTORY!$D$2:$D$334, "Sports"))</f>
        <v>0</v>
      </c>
      <c r="J165" s="75">
        <f>SUMPRODUCT(COUNTIFS(PROGRAM_DIRECTORY!$A$2:$A$334, $N165:$AB165, PROGRAM_DIRECTORY!$E$2:$E$334, "Individual"))</f>
        <v>0</v>
      </c>
      <c r="K165" s="75">
        <f>SUMPRODUCT(COUNTIFS(PROGRAM_DIRECTORY!$A$2:$A$334, $N165:$AB165, PROGRAM_DIRECTORY!$E$2:$E$334, "Group"))</f>
        <v>0</v>
      </c>
      <c r="L165" s="75">
        <f t="shared" si="1"/>
        <v>0</v>
      </c>
      <c r="M165" s="75" t="str">
        <f t="shared" si="2"/>
        <v>Min 1 Required (Stage &amp; Non-Stage)</v>
      </c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AC165" s="79" t="str">
        <f t="shared" si="3"/>
        <v/>
      </c>
    </row>
    <row r="166">
      <c r="A166" s="74">
        <v>389.0</v>
      </c>
      <c r="B166" s="74" t="s">
        <v>820</v>
      </c>
      <c r="C166" s="74">
        <v>5.0</v>
      </c>
      <c r="D166" s="74" t="s">
        <v>5</v>
      </c>
      <c r="E166" s="74" t="s">
        <v>195</v>
      </c>
      <c r="F166" s="74" t="s">
        <v>622</v>
      </c>
      <c r="G166" s="75">
        <f>SUMPRODUCT(COUNTIFS(PROGRAM_DIRECTORY!$A$2:$A$334, $N166:$AB166, PROGRAM_DIRECTORY!$D$2:$D$334, "Non-Stage", PROGRAM_DIRECTORY!$E$2:$E$334, "Individual"))</f>
        <v>0</v>
      </c>
      <c r="H166" s="75">
        <f>SUMPRODUCT(COUNTIFS(PROGRAM_DIRECTORY!$A$2:$A$334, $N166:$AB166, PROGRAM_DIRECTORY!$D$2:$D$334, "Stage", PROGRAM_DIRECTORY!$E$2:$E$334, "Individual"))</f>
        <v>0</v>
      </c>
      <c r="I166" s="75">
        <f>SUMPRODUCT(COUNTIFS(PROGRAM_DIRECTORY!$A$2:$A$334, $N166:$AB166, PROGRAM_DIRECTORY!$D$2:$D$334, "Sports"))</f>
        <v>0</v>
      </c>
      <c r="J166" s="75">
        <f>SUMPRODUCT(COUNTIFS(PROGRAM_DIRECTORY!$A$2:$A$334, $N166:$AB166, PROGRAM_DIRECTORY!$E$2:$E$334, "Individual"))</f>
        <v>0</v>
      </c>
      <c r="K166" s="75">
        <f>SUMPRODUCT(COUNTIFS(PROGRAM_DIRECTORY!$A$2:$A$334, $N166:$AB166, PROGRAM_DIRECTORY!$E$2:$E$334, "Group"))</f>
        <v>0</v>
      </c>
      <c r="L166" s="75">
        <f t="shared" si="1"/>
        <v>0</v>
      </c>
      <c r="M166" s="75" t="str">
        <f t="shared" si="2"/>
        <v>Min 1 Required (Stage &amp; Non-Stage)</v>
      </c>
      <c r="N166" s="74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AC166" s="79" t="str">
        <f t="shared" si="3"/>
        <v/>
      </c>
    </row>
    <row r="167">
      <c r="A167" s="74">
        <v>255.0</v>
      </c>
      <c r="B167" s="74" t="s">
        <v>821</v>
      </c>
      <c r="C167" s="74">
        <v>5.0</v>
      </c>
      <c r="D167" s="74" t="s">
        <v>5</v>
      </c>
      <c r="E167" s="74" t="s">
        <v>450</v>
      </c>
      <c r="F167" s="74" t="s">
        <v>622</v>
      </c>
      <c r="G167" s="75">
        <f>SUMPRODUCT(COUNTIFS(PROGRAM_DIRECTORY!$A$2:$A$334, $N167:$AB167, PROGRAM_DIRECTORY!$D$2:$D$334, "Non-Stage", PROGRAM_DIRECTORY!$E$2:$E$334, "Individual"))</f>
        <v>0</v>
      </c>
      <c r="H167" s="75">
        <f>SUMPRODUCT(COUNTIFS(PROGRAM_DIRECTORY!$A$2:$A$334, $N167:$AB167, PROGRAM_DIRECTORY!$D$2:$D$334, "Stage", PROGRAM_DIRECTORY!$E$2:$E$334, "Individual"))</f>
        <v>0</v>
      </c>
      <c r="I167" s="75">
        <f>SUMPRODUCT(COUNTIFS(PROGRAM_DIRECTORY!$A$2:$A$334, $N167:$AB167, PROGRAM_DIRECTORY!$D$2:$D$334, "Sports"))</f>
        <v>0</v>
      </c>
      <c r="J167" s="75">
        <f>SUMPRODUCT(COUNTIFS(PROGRAM_DIRECTORY!$A$2:$A$334, $N167:$AB167, PROGRAM_DIRECTORY!$E$2:$E$334, "Individual"))</f>
        <v>0</v>
      </c>
      <c r="K167" s="75">
        <f>SUMPRODUCT(COUNTIFS(PROGRAM_DIRECTORY!$A$2:$A$334, $N167:$AB167, PROGRAM_DIRECTORY!$E$2:$E$334, "Group"))</f>
        <v>0</v>
      </c>
      <c r="L167" s="75">
        <f t="shared" si="1"/>
        <v>0</v>
      </c>
      <c r="M167" s="75" t="str">
        <f t="shared" si="2"/>
        <v>Min 1 Required (Stage &amp; Non-Stage)</v>
      </c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AC167" s="79" t="str">
        <f t="shared" si="3"/>
        <v/>
      </c>
    </row>
    <row r="168">
      <c r="A168" s="74">
        <v>275.0</v>
      </c>
      <c r="B168" s="74" t="s">
        <v>822</v>
      </c>
      <c r="C168" s="74">
        <v>5.0</v>
      </c>
      <c r="D168" s="74" t="s">
        <v>5</v>
      </c>
      <c r="E168" s="74" t="s">
        <v>380</v>
      </c>
      <c r="F168" s="74" t="s">
        <v>622</v>
      </c>
      <c r="G168" s="75">
        <f>SUMPRODUCT(COUNTIFS(PROGRAM_DIRECTORY!$A$2:$A$334, $N168:$AB168, PROGRAM_DIRECTORY!$D$2:$D$334, "Non-Stage", PROGRAM_DIRECTORY!$E$2:$E$334, "Individual"))</f>
        <v>0</v>
      </c>
      <c r="H168" s="75">
        <f>SUMPRODUCT(COUNTIFS(PROGRAM_DIRECTORY!$A$2:$A$334, $N168:$AB168, PROGRAM_DIRECTORY!$D$2:$D$334, "Stage", PROGRAM_DIRECTORY!$E$2:$E$334, "Individual"))</f>
        <v>0</v>
      </c>
      <c r="I168" s="75">
        <f>SUMPRODUCT(COUNTIFS(PROGRAM_DIRECTORY!$A$2:$A$334, $N168:$AB168, PROGRAM_DIRECTORY!$D$2:$D$334, "Sports"))</f>
        <v>0</v>
      </c>
      <c r="J168" s="75">
        <f>SUMPRODUCT(COUNTIFS(PROGRAM_DIRECTORY!$A$2:$A$334, $N168:$AB168, PROGRAM_DIRECTORY!$E$2:$E$334, "Individual"))</f>
        <v>0</v>
      </c>
      <c r="K168" s="75">
        <f>SUMPRODUCT(COUNTIFS(PROGRAM_DIRECTORY!$A$2:$A$334, $N168:$AB168, PROGRAM_DIRECTORY!$E$2:$E$334, "Group"))</f>
        <v>0</v>
      </c>
      <c r="L168" s="75">
        <f t="shared" si="1"/>
        <v>0</v>
      </c>
      <c r="M168" s="75" t="str">
        <f t="shared" si="2"/>
        <v>Min 1 Required (Stage &amp; Non-Stage)</v>
      </c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AC168" s="79" t="str">
        <f t="shared" si="3"/>
        <v/>
      </c>
    </row>
    <row r="169">
      <c r="A169" s="74">
        <v>236.0</v>
      </c>
      <c r="B169" s="74" t="s">
        <v>823</v>
      </c>
      <c r="C169" s="74">
        <v>5.0</v>
      </c>
      <c r="D169" s="74" t="s">
        <v>5</v>
      </c>
      <c r="E169" s="74" t="s">
        <v>380</v>
      </c>
      <c r="F169" s="74" t="s">
        <v>622</v>
      </c>
      <c r="G169" s="75">
        <f>SUMPRODUCT(COUNTIFS(PROGRAM_DIRECTORY!$A$2:$A$334, $N169:$AB169, PROGRAM_DIRECTORY!$D$2:$D$334, "Non-Stage", PROGRAM_DIRECTORY!$E$2:$E$334, "Individual"))</f>
        <v>0</v>
      </c>
      <c r="H169" s="75">
        <f>SUMPRODUCT(COUNTIFS(PROGRAM_DIRECTORY!$A$2:$A$334, $N169:$AB169, PROGRAM_DIRECTORY!$D$2:$D$334, "Stage", PROGRAM_DIRECTORY!$E$2:$E$334, "Individual"))</f>
        <v>0</v>
      </c>
      <c r="I169" s="75">
        <f>SUMPRODUCT(COUNTIFS(PROGRAM_DIRECTORY!$A$2:$A$334, $N169:$AB169, PROGRAM_DIRECTORY!$D$2:$D$334, "Sports"))</f>
        <v>0</v>
      </c>
      <c r="J169" s="75">
        <f>SUMPRODUCT(COUNTIFS(PROGRAM_DIRECTORY!$A$2:$A$334, $N169:$AB169, PROGRAM_DIRECTORY!$E$2:$E$334, "Individual"))</f>
        <v>0</v>
      </c>
      <c r="K169" s="75">
        <f>SUMPRODUCT(COUNTIFS(PROGRAM_DIRECTORY!$A$2:$A$334, $N169:$AB169, PROGRAM_DIRECTORY!$E$2:$E$334, "Group"))</f>
        <v>0</v>
      </c>
      <c r="L169" s="75">
        <f t="shared" si="1"/>
        <v>0</v>
      </c>
      <c r="M169" s="75" t="str">
        <f t="shared" si="2"/>
        <v>Min 1 Required (Stage &amp; Non-Stage)</v>
      </c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AC169" s="79" t="str">
        <f t="shared" si="3"/>
        <v/>
      </c>
    </row>
    <row r="170">
      <c r="A170" s="74">
        <v>271.0</v>
      </c>
      <c r="B170" s="74" t="s">
        <v>824</v>
      </c>
      <c r="C170" s="74">
        <v>5.0</v>
      </c>
      <c r="D170" s="74" t="s">
        <v>5</v>
      </c>
      <c r="E170" s="74" t="s">
        <v>450</v>
      </c>
      <c r="F170" s="74" t="s">
        <v>622</v>
      </c>
      <c r="G170" s="75">
        <f>SUMPRODUCT(COUNTIFS(PROGRAM_DIRECTORY!$A$2:$A$334, $N170:$AB170, PROGRAM_DIRECTORY!$D$2:$D$334, "Non-Stage", PROGRAM_DIRECTORY!$E$2:$E$334, "Individual"))</f>
        <v>0</v>
      </c>
      <c r="H170" s="75">
        <f>SUMPRODUCT(COUNTIFS(PROGRAM_DIRECTORY!$A$2:$A$334, $N170:$AB170, PROGRAM_DIRECTORY!$D$2:$D$334, "Stage", PROGRAM_DIRECTORY!$E$2:$E$334, "Individual"))</f>
        <v>0</v>
      </c>
      <c r="I170" s="75">
        <f>SUMPRODUCT(COUNTIFS(PROGRAM_DIRECTORY!$A$2:$A$334, $N170:$AB170, PROGRAM_DIRECTORY!$D$2:$D$334, "Sports"))</f>
        <v>0</v>
      </c>
      <c r="J170" s="75">
        <f>SUMPRODUCT(COUNTIFS(PROGRAM_DIRECTORY!$A$2:$A$334, $N170:$AB170, PROGRAM_DIRECTORY!$E$2:$E$334, "Individual"))</f>
        <v>0</v>
      </c>
      <c r="K170" s="75">
        <f>SUMPRODUCT(COUNTIFS(PROGRAM_DIRECTORY!$A$2:$A$334, $N170:$AB170, PROGRAM_DIRECTORY!$E$2:$E$334, "Group"))</f>
        <v>0</v>
      </c>
      <c r="L170" s="75">
        <f t="shared" si="1"/>
        <v>0</v>
      </c>
      <c r="M170" s="75" t="str">
        <f t="shared" si="2"/>
        <v>Min 1 Required (Stage &amp; Non-Stage)</v>
      </c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AC170" s="79" t="str">
        <f t="shared" si="3"/>
        <v/>
      </c>
    </row>
    <row r="171">
      <c r="A171" s="74">
        <v>283.0</v>
      </c>
      <c r="B171" s="74" t="s">
        <v>825</v>
      </c>
      <c r="C171" s="74">
        <v>5.0</v>
      </c>
      <c r="D171" s="74" t="s">
        <v>5</v>
      </c>
      <c r="E171" s="74" t="s">
        <v>195</v>
      </c>
      <c r="F171" s="74" t="s">
        <v>622</v>
      </c>
      <c r="G171" s="75">
        <f>SUMPRODUCT(COUNTIFS(PROGRAM_DIRECTORY!$A$2:$A$334, $N171:$AB171, PROGRAM_DIRECTORY!$D$2:$D$334, "Non-Stage", PROGRAM_DIRECTORY!$E$2:$E$334, "Individual"))</f>
        <v>0</v>
      </c>
      <c r="H171" s="75">
        <f>SUMPRODUCT(COUNTIFS(PROGRAM_DIRECTORY!$A$2:$A$334, $N171:$AB171, PROGRAM_DIRECTORY!$D$2:$D$334, "Stage", PROGRAM_DIRECTORY!$E$2:$E$334, "Individual"))</f>
        <v>0</v>
      </c>
      <c r="I171" s="75">
        <f>SUMPRODUCT(COUNTIFS(PROGRAM_DIRECTORY!$A$2:$A$334, $N171:$AB171, PROGRAM_DIRECTORY!$D$2:$D$334, "Sports"))</f>
        <v>0</v>
      </c>
      <c r="J171" s="75">
        <f>SUMPRODUCT(COUNTIFS(PROGRAM_DIRECTORY!$A$2:$A$334, $N171:$AB171, PROGRAM_DIRECTORY!$E$2:$E$334, "Individual"))</f>
        <v>0</v>
      </c>
      <c r="K171" s="75">
        <f>SUMPRODUCT(COUNTIFS(PROGRAM_DIRECTORY!$A$2:$A$334, $N171:$AB171, PROGRAM_DIRECTORY!$E$2:$E$334, "Group"))</f>
        <v>0</v>
      </c>
      <c r="L171" s="75">
        <f t="shared" si="1"/>
        <v>0</v>
      </c>
      <c r="M171" s="75" t="str">
        <f t="shared" si="2"/>
        <v>Min 1 Required (Stage &amp; Non-Stage)</v>
      </c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AC171" s="79" t="str">
        <f t="shared" si="3"/>
        <v/>
      </c>
    </row>
    <row r="172">
      <c r="A172" s="74">
        <v>439.0</v>
      </c>
      <c r="B172" s="74" t="s">
        <v>826</v>
      </c>
      <c r="C172" s="74">
        <v>5.0</v>
      </c>
      <c r="D172" s="74" t="s">
        <v>5</v>
      </c>
      <c r="E172" s="74" t="s">
        <v>331</v>
      </c>
      <c r="F172" s="74" t="s">
        <v>622</v>
      </c>
      <c r="G172" s="75">
        <f>SUMPRODUCT(COUNTIFS(PROGRAM_DIRECTORY!$A$2:$A$334, $N172:$AB172, PROGRAM_DIRECTORY!$D$2:$D$334, "Non-Stage", PROGRAM_DIRECTORY!$E$2:$E$334, "Individual"))</f>
        <v>0</v>
      </c>
      <c r="H172" s="75">
        <f>SUMPRODUCT(COUNTIFS(PROGRAM_DIRECTORY!$A$2:$A$334, $N172:$AB172, PROGRAM_DIRECTORY!$D$2:$D$334, "Stage", PROGRAM_DIRECTORY!$E$2:$E$334, "Individual"))</f>
        <v>0</v>
      </c>
      <c r="I172" s="75">
        <f>SUMPRODUCT(COUNTIFS(PROGRAM_DIRECTORY!$A$2:$A$334, $N172:$AB172, PROGRAM_DIRECTORY!$D$2:$D$334, "Sports"))</f>
        <v>0</v>
      </c>
      <c r="J172" s="75">
        <f>SUMPRODUCT(COUNTIFS(PROGRAM_DIRECTORY!$A$2:$A$334, $N172:$AB172, PROGRAM_DIRECTORY!$E$2:$E$334, "Individual"))</f>
        <v>0</v>
      </c>
      <c r="K172" s="75">
        <f>SUMPRODUCT(COUNTIFS(PROGRAM_DIRECTORY!$A$2:$A$334, $N172:$AB172, PROGRAM_DIRECTORY!$E$2:$E$334, "Group"))</f>
        <v>0</v>
      </c>
      <c r="L172" s="75">
        <f t="shared" si="1"/>
        <v>0</v>
      </c>
      <c r="M172" s="75" t="str">
        <f t="shared" si="2"/>
        <v>Min 1 Required (Stage &amp; Non-Stage)</v>
      </c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AC172" s="79" t="str">
        <f t="shared" si="3"/>
        <v/>
      </c>
    </row>
    <row r="173">
      <c r="A173" s="74">
        <v>341.0</v>
      </c>
      <c r="B173" s="74" t="s">
        <v>827</v>
      </c>
      <c r="C173" s="74">
        <v>4.0</v>
      </c>
      <c r="D173" s="74" t="s">
        <v>5</v>
      </c>
      <c r="E173" s="74" t="s">
        <v>195</v>
      </c>
      <c r="F173" s="74" t="s">
        <v>622</v>
      </c>
      <c r="G173" s="75">
        <f>SUMPRODUCT(COUNTIFS(PROGRAM_DIRECTORY!$A$2:$A$334, $N173:$AB173, PROGRAM_DIRECTORY!$D$2:$D$334, "Non-Stage", PROGRAM_DIRECTORY!$E$2:$E$334, "Individual"))</f>
        <v>0</v>
      </c>
      <c r="H173" s="75">
        <f>SUMPRODUCT(COUNTIFS(PROGRAM_DIRECTORY!$A$2:$A$334, $N173:$AB173, PROGRAM_DIRECTORY!$D$2:$D$334, "Stage", PROGRAM_DIRECTORY!$E$2:$E$334, "Individual"))</f>
        <v>0</v>
      </c>
      <c r="I173" s="75">
        <f>SUMPRODUCT(COUNTIFS(PROGRAM_DIRECTORY!$A$2:$A$334, $N173:$AB173, PROGRAM_DIRECTORY!$D$2:$D$334, "Sports"))</f>
        <v>0</v>
      </c>
      <c r="J173" s="75">
        <f>SUMPRODUCT(COUNTIFS(PROGRAM_DIRECTORY!$A$2:$A$334, $N173:$AB173, PROGRAM_DIRECTORY!$E$2:$E$334, "Individual"))</f>
        <v>0</v>
      </c>
      <c r="K173" s="75">
        <f>SUMPRODUCT(COUNTIFS(PROGRAM_DIRECTORY!$A$2:$A$334, $N173:$AB173, PROGRAM_DIRECTORY!$E$2:$E$334, "Group"))</f>
        <v>0</v>
      </c>
      <c r="L173" s="75">
        <f t="shared" si="1"/>
        <v>0</v>
      </c>
      <c r="M173" s="75" t="str">
        <f t="shared" si="2"/>
        <v>Min 1 Required (Stage &amp; Non-Stage)</v>
      </c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AC173" s="79" t="str">
        <f t="shared" si="3"/>
        <v/>
      </c>
    </row>
    <row r="174">
      <c r="A174" s="74">
        <v>335.0</v>
      </c>
      <c r="B174" s="74" t="s">
        <v>828</v>
      </c>
      <c r="C174" s="74">
        <v>4.0</v>
      </c>
      <c r="D174" s="74" t="s">
        <v>5</v>
      </c>
      <c r="E174" s="74" t="s">
        <v>450</v>
      </c>
      <c r="F174" s="74" t="s">
        <v>622</v>
      </c>
      <c r="G174" s="75">
        <f>SUMPRODUCT(COUNTIFS(PROGRAM_DIRECTORY!$A$2:$A$334, $N174:$AB174, PROGRAM_DIRECTORY!$D$2:$D$334, "Non-Stage", PROGRAM_DIRECTORY!$E$2:$E$334, "Individual"))</f>
        <v>0</v>
      </c>
      <c r="H174" s="75">
        <f>SUMPRODUCT(COUNTIFS(PROGRAM_DIRECTORY!$A$2:$A$334, $N174:$AB174, PROGRAM_DIRECTORY!$D$2:$D$334, "Stage", PROGRAM_DIRECTORY!$E$2:$E$334, "Individual"))</f>
        <v>0</v>
      </c>
      <c r="I174" s="75">
        <f>SUMPRODUCT(COUNTIFS(PROGRAM_DIRECTORY!$A$2:$A$334, $N174:$AB174, PROGRAM_DIRECTORY!$D$2:$D$334, "Sports"))</f>
        <v>0</v>
      </c>
      <c r="J174" s="75">
        <f>SUMPRODUCT(COUNTIFS(PROGRAM_DIRECTORY!$A$2:$A$334, $N174:$AB174, PROGRAM_DIRECTORY!$E$2:$E$334, "Individual"))</f>
        <v>0</v>
      </c>
      <c r="K174" s="75">
        <f>SUMPRODUCT(COUNTIFS(PROGRAM_DIRECTORY!$A$2:$A$334, $N174:$AB174, PROGRAM_DIRECTORY!$E$2:$E$334, "Group"))</f>
        <v>0</v>
      </c>
      <c r="L174" s="75">
        <f t="shared" si="1"/>
        <v>0</v>
      </c>
      <c r="M174" s="75" t="str">
        <f t="shared" si="2"/>
        <v>Min 1 Required (Stage &amp; Non-Stage)</v>
      </c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AC174" s="79" t="str">
        <f t="shared" si="3"/>
        <v/>
      </c>
    </row>
    <row r="175">
      <c r="A175" s="74">
        <v>311.0</v>
      </c>
      <c r="B175" s="74" t="s">
        <v>829</v>
      </c>
      <c r="C175" s="74">
        <v>4.0</v>
      </c>
      <c r="D175" s="74" t="s">
        <v>5</v>
      </c>
      <c r="E175" s="74" t="s">
        <v>331</v>
      </c>
      <c r="F175" s="74" t="s">
        <v>622</v>
      </c>
      <c r="G175" s="75">
        <f>SUMPRODUCT(COUNTIFS(PROGRAM_DIRECTORY!$A$2:$A$334, $N175:$AB175, PROGRAM_DIRECTORY!$D$2:$D$334, "Non-Stage", PROGRAM_DIRECTORY!$E$2:$E$334, "Individual"))</f>
        <v>0</v>
      </c>
      <c r="H175" s="75">
        <f>SUMPRODUCT(COUNTIFS(PROGRAM_DIRECTORY!$A$2:$A$334, $N175:$AB175, PROGRAM_DIRECTORY!$D$2:$D$334, "Stage", PROGRAM_DIRECTORY!$E$2:$E$334, "Individual"))</f>
        <v>0</v>
      </c>
      <c r="I175" s="75">
        <f>SUMPRODUCT(COUNTIFS(PROGRAM_DIRECTORY!$A$2:$A$334, $N175:$AB175, PROGRAM_DIRECTORY!$D$2:$D$334, "Sports"))</f>
        <v>0</v>
      </c>
      <c r="J175" s="75">
        <f>SUMPRODUCT(COUNTIFS(PROGRAM_DIRECTORY!$A$2:$A$334, $N175:$AB175, PROGRAM_DIRECTORY!$E$2:$E$334, "Individual"))</f>
        <v>0</v>
      </c>
      <c r="K175" s="75">
        <f>SUMPRODUCT(COUNTIFS(PROGRAM_DIRECTORY!$A$2:$A$334, $N175:$AB175, PROGRAM_DIRECTORY!$E$2:$E$334, "Group"))</f>
        <v>0</v>
      </c>
      <c r="L175" s="75">
        <f t="shared" si="1"/>
        <v>0</v>
      </c>
      <c r="M175" s="75" t="str">
        <f t="shared" si="2"/>
        <v>Min 1 Required (Stage &amp; Non-Stage)</v>
      </c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AC175" s="79" t="str">
        <f t="shared" si="3"/>
        <v/>
      </c>
    </row>
    <row r="176">
      <c r="A176" s="74">
        <v>312.0</v>
      </c>
      <c r="B176" s="74" t="s">
        <v>830</v>
      </c>
      <c r="C176" s="74">
        <v>4.0</v>
      </c>
      <c r="D176" s="74" t="s">
        <v>5</v>
      </c>
      <c r="E176" s="74" t="s">
        <v>331</v>
      </c>
      <c r="F176" s="74" t="s">
        <v>622</v>
      </c>
      <c r="G176" s="75">
        <f>SUMPRODUCT(COUNTIFS(PROGRAM_DIRECTORY!$A$2:$A$334, $N176:$AB176, PROGRAM_DIRECTORY!$D$2:$D$334, "Non-Stage", PROGRAM_DIRECTORY!$E$2:$E$334, "Individual"))</f>
        <v>0</v>
      </c>
      <c r="H176" s="75">
        <f>SUMPRODUCT(COUNTIFS(PROGRAM_DIRECTORY!$A$2:$A$334, $N176:$AB176, PROGRAM_DIRECTORY!$D$2:$D$334, "Stage", PROGRAM_DIRECTORY!$E$2:$E$334, "Individual"))</f>
        <v>0</v>
      </c>
      <c r="I176" s="75">
        <f>SUMPRODUCT(COUNTIFS(PROGRAM_DIRECTORY!$A$2:$A$334, $N176:$AB176, PROGRAM_DIRECTORY!$D$2:$D$334, "Sports"))</f>
        <v>0</v>
      </c>
      <c r="J176" s="75">
        <f>SUMPRODUCT(COUNTIFS(PROGRAM_DIRECTORY!$A$2:$A$334, $N176:$AB176, PROGRAM_DIRECTORY!$E$2:$E$334, "Individual"))</f>
        <v>0</v>
      </c>
      <c r="K176" s="75">
        <f>SUMPRODUCT(COUNTIFS(PROGRAM_DIRECTORY!$A$2:$A$334, $N176:$AB176, PROGRAM_DIRECTORY!$E$2:$E$334, "Group"))</f>
        <v>0</v>
      </c>
      <c r="L176" s="75">
        <f t="shared" si="1"/>
        <v>0</v>
      </c>
      <c r="M176" s="75" t="str">
        <f t="shared" si="2"/>
        <v>Min 1 Required (Stage &amp; Non-Stage)</v>
      </c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AC176" s="79" t="str">
        <f t="shared" si="3"/>
        <v/>
      </c>
    </row>
    <row r="177">
      <c r="A177" s="74">
        <v>310.0</v>
      </c>
      <c r="B177" s="74" t="s">
        <v>831</v>
      </c>
      <c r="C177" s="74">
        <v>4.0</v>
      </c>
      <c r="D177" s="74" t="s">
        <v>5</v>
      </c>
      <c r="E177" s="74" t="s">
        <v>450</v>
      </c>
      <c r="F177" s="74" t="s">
        <v>622</v>
      </c>
      <c r="G177" s="75">
        <f>SUMPRODUCT(COUNTIFS(PROGRAM_DIRECTORY!$A$2:$A$334, $N177:$AB177, PROGRAM_DIRECTORY!$D$2:$D$334, "Non-Stage", PROGRAM_DIRECTORY!$E$2:$E$334, "Individual"))</f>
        <v>0</v>
      </c>
      <c r="H177" s="75">
        <f>SUMPRODUCT(COUNTIFS(PROGRAM_DIRECTORY!$A$2:$A$334, $N177:$AB177, PROGRAM_DIRECTORY!$D$2:$D$334, "Stage", PROGRAM_DIRECTORY!$E$2:$E$334, "Individual"))</f>
        <v>0</v>
      </c>
      <c r="I177" s="75">
        <f>SUMPRODUCT(COUNTIFS(PROGRAM_DIRECTORY!$A$2:$A$334, $N177:$AB177, PROGRAM_DIRECTORY!$D$2:$D$334, "Sports"))</f>
        <v>0</v>
      </c>
      <c r="J177" s="75">
        <f>SUMPRODUCT(COUNTIFS(PROGRAM_DIRECTORY!$A$2:$A$334, $N177:$AB177, PROGRAM_DIRECTORY!$E$2:$E$334, "Individual"))</f>
        <v>0</v>
      </c>
      <c r="K177" s="75">
        <f>SUMPRODUCT(COUNTIFS(PROGRAM_DIRECTORY!$A$2:$A$334, $N177:$AB177, PROGRAM_DIRECTORY!$E$2:$E$334, "Group"))</f>
        <v>0</v>
      </c>
      <c r="L177" s="75">
        <f t="shared" si="1"/>
        <v>0</v>
      </c>
      <c r="M177" s="75" t="str">
        <f t="shared" si="2"/>
        <v>Min 1 Required (Stage &amp; Non-Stage)</v>
      </c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AC177" s="79" t="str">
        <f t="shared" si="3"/>
        <v/>
      </c>
    </row>
    <row r="178">
      <c r="A178" s="74">
        <v>326.0</v>
      </c>
      <c r="B178" s="74" t="s">
        <v>832</v>
      </c>
      <c r="C178" s="74">
        <v>4.0</v>
      </c>
      <c r="D178" s="74" t="s">
        <v>5</v>
      </c>
      <c r="E178" s="74" t="s">
        <v>450</v>
      </c>
      <c r="F178" s="74" t="s">
        <v>622</v>
      </c>
      <c r="G178" s="75">
        <f>SUMPRODUCT(COUNTIFS(PROGRAM_DIRECTORY!$A$2:$A$334, $N178:$AB178, PROGRAM_DIRECTORY!$D$2:$D$334, "Non-Stage", PROGRAM_DIRECTORY!$E$2:$E$334, "Individual"))</f>
        <v>0</v>
      </c>
      <c r="H178" s="75">
        <f>SUMPRODUCT(COUNTIFS(PROGRAM_DIRECTORY!$A$2:$A$334, $N178:$AB178, PROGRAM_DIRECTORY!$D$2:$D$334, "Stage", PROGRAM_DIRECTORY!$E$2:$E$334, "Individual"))</f>
        <v>0</v>
      </c>
      <c r="I178" s="75">
        <f>SUMPRODUCT(COUNTIFS(PROGRAM_DIRECTORY!$A$2:$A$334, $N178:$AB178, PROGRAM_DIRECTORY!$D$2:$D$334, "Sports"))</f>
        <v>0</v>
      </c>
      <c r="J178" s="75">
        <f>SUMPRODUCT(COUNTIFS(PROGRAM_DIRECTORY!$A$2:$A$334, $N178:$AB178, PROGRAM_DIRECTORY!$E$2:$E$334, "Individual"))</f>
        <v>0</v>
      </c>
      <c r="K178" s="75">
        <f>SUMPRODUCT(COUNTIFS(PROGRAM_DIRECTORY!$A$2:$A$334, $N178:$AB178, PROGRAM_DIRECTORY!$E$2:$E$334, "Group"))</f>
        <v>0</v>
      </c>
      <c r="L178" s="75">
        <f t="shared" si="1"/>
        <v>0</v>
      </c>
      <c r="M178" s="75" t="str">
        <f t="shared" si="2"/>
        <v>Min 1 Required (Stage &amp; Non-Stage)</v>
      </c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AC178" s="79" t="str">
        <f t="shared" si="3"/>
        <v/>
      </c>
    </row>
    <row r="179">
      <c r="A179" s="74">
        <v>306.0</v>
      </c>
      <c r="B179" s="74" t="s">
        <v>833</v>
      </c>
      <c r="C179" s="74">
        <v>4.0</v>
      </c>
      <c r="D179" s="74" t="s">
        <v>5</v>
      </c>
      <c r="E179" s="74" t="s">
        <v>380</v>
      </c>
      <c r="F179" s="74" t="s">
        <v>622</v>
      </c>
      <c r="G179" s="75">
        <f>SUMPRODUCT(COUNTIFS(PROGRAM_DIRECTORY!$A$2:$A$334, $N179:$AB179, PROGRAM_DIRECTORY!$D$2:$D$334, "Non-Stage", PROGRAM_DIRECTORY!$E$2:$E$334, "Individual"))</f>
        <v>0</v>
      </c>
      <c r="H179" s="75">
        <f>SUMPRODUCT(COUNTIFS(PROGRAM_DIRECTORY!$A$2:$A$334, $N179:$AB179, PROGRAM_DIRECTORY!$D$2:$D$334, "Stage", PROGRAM_DIRECTORY!$E$2:$E$334, "Individual"))</f>
        <v>0</v>
      </c>
      <c r="I179" s="75">
        <f>SUMPRODUCT(COUNTIFS(PROGRAM_DIRECTORY!$A$2:$A$334, $N179:$AB179, PROGRAM_DIRECTORY!$D$2:$D$334, "Sports"))</f>
        <v>0</v>
      </c>
      <c r="J179" s="75">
        <f>SUMPRODUCT(COUNTIFS(PROGRAM_DIRECTORY!$A$2:$A$334, $N179:$AB179, PROGRAM_DIRECTORY!$E$2:$E$334, "Individual"))</f>
        <v>0</v>
      </c>
      <c r="K179" s="75">
        <f>SUMPRODUCT(COUNTIFS(PROGRAM_DIRECTORY!$A$2:$A$334, $N179:$AB179, PROGRAM_DIRECTORY!$E$2:$E$334, "Group"))</f>
        <v>0</v>
      </c>
      <c r="L179" s="75">
        <f t="shared" si="1"/>
        <v>0</v>
      </c>
      <c r="M179" s="75" t="str">
        <f t="shared" si="2"/>
        <v>Min 1 Required (Stage &amp; Non-Stage)</v>
      </c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AC179" s="79" t="str">
        <f t="shared" si="3"/>
        <v/>
      </c>
    </row>
    <row r="180">
      <c r="A180" s="74">
        <v>307.0</v>
      </c>
      <c r="B180" s="74" t="s">
        <v>834</v>
      </c>
      <c r="C180" s="74">
        <v>4.0</v>
      </c>
      <c r="D180" s="74" t="s">
        <v>5</v>
      </c>
      <c r="E180" s="74" t="s">
        <v>380</v>
      </c>
      <c r="F180" s="74" t="s">
        <v>622</v>
      </c>
      <c r="G180" s="75">
        <f>SUMPRODUCT(COUNTIFS(PROGRAM_DIRECTORY!$A$2:$A$334, $N180:$AB180, PROGRAM_DIRECTORY!$D$2:$D$334, "Non-Stage", PROGRAM_DIRECTORY!$E$2:$E$334, "Individual"))</f>
        <v>0</v>
      </c>
      <c r="H180" s="75">
        <f>SUMPRODUCT(COUNTIFS(PROGRAM_DIRECTORY!$A$2:$A$334, $N180:$AB180, PROGRAM_DIRECTORY!$D$2:$D$334, "Stage", PROGRAM_DIRECTORY!$E$2:$E$334, "Individual"))</f>
        <v>0</v>
      </c>
      <c r="I180" s="75">
        <f>SUMPRODUCT(COUNTIFS(PROGRAM_DIRECTORY!$A$2:$A$334, $N180:$AB180, PROGRAM_DIRECTORY!$D$2:$D$334, "Sports"))</f>
        <v>0</v>
      </c>
      <c r="J180" s="75">
        <f>SUMPRODUCT(COUNTIFS(PROGRAM_DIRECTORY!$A$2:$A$334, $N180:$AB180, PROGRAM_DIRECTORY!$E$2:$E$334, "Individual"))</f>
        <v>0</v>
      </c>
      <c r="K180" s="75">
        <f>SUMPRODUCT(COUNTIFS(PROGRAM_DIRECTORY!$A$2:$A$334, $N180:$AB180, PROGRAM_DIRECTORY!$E$2:$E$334, "Group"))</f>
        <v>0</v>
      </c>
      <c r="L180" s="75">
        <f t="shared" si="1"/>
        <v>0</v>
      </c>
      <c r="M180" s="75" t="str">
        <f t="shared" si="2"/>
        <v>Min 1 Required (Stage &amp; Non-Stage)</v>
      </c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AC180" s="79" t="str">
        <f t="shared" si="3"/>
        <v/>
      </c>
    </row>
    <row r="181">
      <c r="A181" s="74">
        <v>330.0</v>
      </c>
      <c r="B181" s="74" t="s">
        <v>835</v>
      </c>
      <c r="C181" s="74">
        <v>4.0</v>
      </c>
      <c r="D181" s="74" t="s">
        <v>5</v>
      </c>
      <c r="E181" s="74" t="s">
        <v>195</v>
      </c>
      <c r="F181" s="74" t="s">
        <v>622</v>
      </c>
      <c r="G181" s="75">
        <f>SUMPRODUCT(COUNTIFS(PROGRAM_DIRECTORY!$A$2:$A$334, $N181:$AB181, PROGRAM_DIRECTORY!$D$2:$D$334, "Non-Stage", PROGRAM_DIRECTORY!$E$2:$E$334, "Individual"))</f>
        <v>0</v>
      </c>
      <c r="H181" s="75">
        <f>SUMPRODUCT(COUNTIFS(PROGRAM_DIRECTORY!$A$2:$A$334, $N181:$AB181, PROGRAM_DIRECTORY!$D$2:$D$334, "Stage", PROGRAM_DIRECTORY!$E$2:$E$334, "Individual"))</f>
        <v>0</v>
      </c>
      <c r="I181" s="75">
        <f>SUMPRODUCT(COUNTIFS(PROGRAM_DIRECTORY!$A$2:$A$334, $N181:$AB181, PROGRAM_DIRECTORY!$D$2:$D$334, "Sports"))</f>
        <v>0</v>
      </c>
      <c r="J181" s="75">
        <f>SUMPRODUCT(COUNTIFS(PROGRAM_DIRECTORY!$A$2:$A$334, $N181:$AB181, PROGRAM_DIRECTORY!$E$2:$E$334, "Individual"))</f>
        <v>0</v>
      </c>
      <c r="K181" s="75">
        <f>SUMPRODUCT(COUNTIFS(PROGRAM_DIRECTORY!$A$2:$A$334, $N181:$AB181, PROGRAM_DIRECTORY!$E$2:$E$334, "Group"))</f>
        <v>0</v>
      </c>
      <c r="L181" s="75">
        <f t="shared" si="1"/>
        <v>0</v>
      </c>
      <c r="M181" s="75" t="str">
        <f t="shared" si="2"/>
        <v>Min 1 Required (Stage &amp; Non-Stage)</v>
      </c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AC181" s="79" t="str">
        <f t="shared" si="3"/>
        <v/>
      </c>
    </row>
    <row r="182">
      <c r="A182" s="74">
        <v>313.0</v>
      </c>
      <c r="B182" s="74" t="s">
        <v>836</v>
      </c>
      <c r="C182" s="74">
        <v>4.0</v>
      </c>
      <c r="D182" s="74" t="s">
        <v>5</v>
      </c>
      <c r="E182" s="74" t="s">
        <v>195</v>
      </c>
      <c r="F182" s="74" t="s">
        <v>622</v>
      </c>
      <c r="G182" s="75">
        <f>SUMPRODUCT(COUNTIFS(PROGRAM_DIRECTORY!$A$2:$A$334, $N182:$AB182, PROGRAM_DIRECTORY!$D$2:$D$334, "Non-Stage", PROGRAM_DIRECTORY!$E$2:$E$334, "Individual"))</f>
        <v>0</v>
      </c>
      <c r="H182" s="75">
        <f>SUMPRODUCT(COUNTIFS(PROGRAM_DIRECTORY!$A$2:$A$334, $N182:$AB182, PROGRAM_DIRECTORY!$D$2:$D$334, "Stage", PROGRAM_DIRECTORY!$E$2:$E$334, "Individual"))</f>
        <v>0</v>
      </c>
      <c r="I182" s="75">
        <f>SUMPRODUCT(COUNTIFS(PROGRAM_DIRECTORY!$A$2:$A$334, $N182:$AB182, PROGRAM_DIRECTORY!$D$2:$D$334, "Sports"))</f>
        <v>0</v>
      </c>
      <c r="J182" s="75">
        <f>SUMPRODUCT(COUNTIFS(PROGRAM_DIRECTORY!$A$2:$A$334, $N182:$AB182, PROGRAM_DIRECTORY!$E$2:$E$334, "Individual"))</f>
        <v>0</v>
      </c>
      <c r="K182" s="75">
        <f>SUMPRODUCT(COUNTIFS(PROGRAM_DIRECTORY!$A$2:$A$334, $N182:$AB182, PROGRAM_DIRECTORY!$E$2:$E$334, "Group"))</f>
        <v>0</v>
      </c>
      <c r="L182" s="75">
        <f t="shared" si="1"/>
        <v>0</v>
      </c>
      <c r="M182" s="75" t="str">
        <f t="shared" si="2"/>
        <v>Min 1 Required (Stage &amp; Non-Stage)</v>
      </c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AC182" s="79" t="str">
        <f t="shared" si="3"/>
        <v/>
      </c>
    </row>
    <row r="183">
      <c r="A183" s="74">
        <v>338.0</v>
      </c>
      <c r="B183" s="74" t="s">
        <v>837</v>
      </c>
      <c r="C183" s="74">
        <v>4.0</v>
      </c>
      <c r="D183" s="74" t="s">
        <v>5</v>
      </c>
      <c r="E183" s="74" t="s">
        <v>195</v>
      </c>
      <c r="F183" s="74" t="s">
        <v>622</v>
      </c>
      <c r="G183" s="75">
        <f>SUMPRODUCT(COUNTIFS(PROGRAM_DIRECTORY!$A$2:$A$334, $N183:$AB183, PROGRAM_DIRECTORY!$D$2:$D$334, "Non-Stage", PROGRAM_DIRECTORY!$E$2:$E$334, "Individual"))</f>
        <v>0</v>
      </c>
      <c r="H183" s="75">
        <f>SUMPRODUCT(COUNTIFS(PROGRAM_DIRECTORY!$A$2:$A$334, $N183:$AB183, PROGRAM_DIRECTORY!$D$2:$D$334, "Stage", PROGRAM_DIRECTORY!$E$2:$E$334, "Individual"))</f>
        <v>0</v>
      </c>
      <c r="I183" s="75">
        <f>SUMPRODUCT(COUNTIFS(PROGRAM_DIRECTORY!$A$2:$A$334, $N183:$AB183, PROGRAM_DIRECTORY!$D$2:$D$334, "Sports"))</f>
        <v>0</v>
      </c>
      <c r="J183" s="75">
        <f>SUMPRODUCT(COUNTIFS(PROGRAM_DIRECTORY!$A$2:$A$334, $N183:$AB183, PROGRAM_DIRECTORY!$E$2:$E$334, "Individual"))</f>
        <v>0</v>
      </c>
      <c r="K183" s="75">
        <f>SUMPRODUCT(COUNTIFS(PROGRAM_DIRECTORY!$A$2:$A$334, $N183:$AB183, PROGRAM_DIRECTORY!$E$2:$E$334, "Group"))</f>
        <v>0</v>
      </c>
      <c r="L183" s="75">
        <f t="shared" si="1"/>
        <v>0</v>
      </c>
      <c r="M183" s="75" t="str">
        <f t="shared" si="2"/>
        <v>Min 1 Required (Stage &amp; Non-Stage)</v>
      </c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AC183" s="79" t="str">
        <f t="shared" si="3"/>
        <v/>
      </c>
    </row>
    <row r="184">
      <c r="A184" s="74">
        <v>342.0</v>
      </c>
      <c r="B184" s="74" t="s">
        <v>838</v>
      </c>
      <c r="C184" s="74">
        <v>4.0</v>
      </c>
      <c r="D184" s="74" t="s">
        <v>5</v>
      </c>
      <c r="E184" s="74" t="s">
        <v>450</v>
      </c>
      <c r="F184" s="74" t="s">
        <v>622</v>
      </c>
      <c r="G184" s="75">
        <f>SUMPRODUCT(COUNTIFS(PROGRAM_DIRECTORY!$A$2:$A$334, $N184:$AB184, PROGRAM_DIRECTORY!$D$2:$D$334, "Non-Stage", PROGRAM_DIRECTORY!$E$2:$E$334, "Individual"))</f>
        <v>0</v>
      </c>
      <c r="H184" s="75">
        <f>SUMPRODUCT(COUNTIFS(PROGRAM_DIRECTORY!$A$2:$A$334, $N184:$AB184, PROGRAM_DIRECTORY!$D$2:$D$334, "Stage", PROGRAM_DIRECTORY!$E$2:$E$334, "Individual"))</f>
        <v>0</v>
      </c>
      <c r="I184" s="75">
        <f>SUMPRODUCT(COUNTIFS(PROGRAM_DIRECTORY!$A$2:$A$334, $N184:$AB184, PROGRAM_DIRECTORY!$D$2:$D$334, "Sports"))</f>
        <v>0</v>
      </c>
      <c r="J184" s="75">
        <f>SUMPRODUCT(COUNTIFS(PROGRAM_DIRECTORY!$A$2:$A$334, $N184:$AB184, PROGRAM_DIRECTORY!$E$2:$E$334, "Individual"))</f>
        <v>0</v>
      </c>
      <c r="K184" s="75">
        <f>SUMPRODUCT(COUNTIFS(PROGRAM_DIRECTORY!$A$2:$A$334, $N184:$AB184, PROGRAM_DIRECTORY!$E$2:$E$334, "Group"))</f>
        <v>0</v>
      </c>
      <c r="L184" s="75">
        <f t="shared" si="1"/>
        <v>0</v>
      </c>
      <c r="M184" s="75" t="str">
        <f t="shared" si="2"/>
        <v>Min 1 Required (Stage &amp; Non-Stage)</v>
      </c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AC184" s="79" t="str">
        <f t="shared" si="3"/>
        <v/>
      </c>
    </row>
    <row r="185">
      <c r="A185" s="74">
        <v>392.0</v>
      </c>
      <c r="B185" s="74" t="s">
        <v>839</v>
      </c>
      <c r="C185" s="74">
        <v>4.0</v>
      </c>
      <c r="D185" s="74" t="s">
        <v>5</v>
      </c>
      <c r="E185" s="74" t="s">
        <v>450</v>
      </c>
      <c r="F185" s="74" t="s">
        <v>622</v>
      </c>
      <c r="G185" s="75">
        <f>SUMPRODUCT(COUNTIFS(PROGRAM_DIRECTORY!$A$2:$A$334, $N185:$AB185, PROGRAM_DIRECTORY!$D$2:$D$334, "Non-Stage", PROGRAM_DIRECTORY!$E$2:$E$334, "Individual"))</f>
        <v>0</v>
      </c>
      <c r="H185" s="75">
        <f>SUMPRODUCT(COUNTIFS(PROGRAM_DIRECTORY!$A$2:$A$334, $N185:$AB185, PROGRAM_DIRECTORY!$D$2:$D$334, "Stage", PROGRAM_DIRECTORY!$E$2:$E$334, "Individual"))</f>
        <v>0</v>
      </c>
      <c r="I185" s="75">
        <f>SUMPRODUCT(COUNTIFS(PROGRAM_DIRECTORY!$A$2:$A$334, $N185:$AB185, PROGRAM_DIRECTORY!$D$2:$D$334, "Sports"))</f>
        <v>0</v>
      </c>
      <c r="J185" s="75">
        <f>SUMPRODUCT(COUNTIFS(PROGRAM_DIRECTORY!$A$2:$A$334, $N185:$AB185, PROGRAM_DIRECTORY!$E$2:$E$334, "Individual"))</f>
        <v>0</v>
      </c>
      <c r="K185" s="75">
        <f>SUMPRODUCT(COUNTIFS(PROGRAM_DIRECTORY!$A$2:$A$334, $N185:$AB185, PROGRAM_DIRECTORY!$E$2:$E$334, "Group"))</f>
        <v>0</v>
      </c>
      <c r="L185" s="75">
        <f t="shared" si="1"/>
        <v>0</v>
      </c>
      <c r="M185" s="75" t="str">
        <f t="shared" si="2"/>
        <v>Min 1 Required (Stage &amp; Non-Stage)</v>
      </c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AC185" s="79" t="str">
        <f t="shared" si="3"/>
        <v/>
      </c>
    </row>
    <row r="186">
      <c r="A186" s="74">
        <v>340.0</v>
      </c>
      <c r="B186" s="74" t="s">
        <v>840</v>
      </c>
      <c r="C186" s="74">
        <v>4.0</v>
      </c>
      <c r="D186" s="74" t="s">
        <v>5</v>
      </c>
      <c r="E186" s="74" t="s">
        <v>331</v>
      </c>
      <c r="F186" s="74" t="s">
        <v>622</v>
      </c>
      <c r="G186" s="75">
        <f>SUMPRODUCT(COUNTIFS(PROGRAM_DIRECTORY!$A$2:$A$334, $N186:$AB186, PROGRAM_DIRECTORY!$D$2:$D$334, "Non-Stage", PROGRAM_DIRECTORY!$E$2:$E$334, "Individual"))</f>
        <v>0</v>
      </c>
      <c r="H186" s="75">
        <f>SUMPRODUCT(COUNTIFS(PROGRAM_DIRECTORY!$A$2:$A$334, $N186:$AB186, PROGRAM_DIRECTORY!$D$2:$D$334, "Stage", PROGRAM_DIRECTORY!$E$2:$E$334, "Individual"))</f>
        <v>0</v>
      </c>
      <c r="I186" s="75">
        <f>SUMPRODUCT(COUNTIFS(PROGRAM_DIRECTORY!$A$2:$A$334, $N186:$AB186, PROGRAM_DIRECTORY!$D$2:$D$334, "Sports"))</f>
        <v>0</v>
      </c>
      <c r="J186" s="75">
        <f>SUMPRODUCT(COUNTIFS(PROGRAM_DIRECTORY!$A$2:$A$334, $N186:$AB186, PROGRAM_DIRECTORY!$E$2:$E$334, "Individual"))</f>
        <v>0</v>
      </c>
      <c r="K186" s="75">
        <f>SUMPRODUCT(COUNTIFS(PROGRAM_DIRECTORY!$A$2:$A$334, $N186:$AB186, PROGRAM_DIRECTORY!$E$2:$E$334, "Group"))</f>
        <v>0</v>
      </c>
      <c r="L186" s="75">
        <f t="shared" si="1"/>
        <v>0</v>
      </c>
      <c r="M186" s="75" t="str">
        <f t="shared" si="2"/>
        <v>Min 1 Required (Stage &amp; Non-Stage)</v>
      </c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AC186" s="79" t="str">
        <f t="shared" si="3"/>
        <v/>
      </c>
    </row>
    <row r="187">
      <c r="A187" s="74">
        <v>318.0</v>
      </c>
      <c r="B187" s="74" t="s">
        <v>841</v>
      </c>
      <c r="C187" s="74">
        <v>4.0</v>
      </c>
      <c r="D187" s="74" t="s">
        <v>5</v>
      </c>
      <c r="E187" s="74" t="s">
        <v>450</v>
      </c>
      <c r="F187" s="74" t="s">
        <v>622</v>
      </c>
      <c r="G187" s="75">
        <f>SUMPRODUCT(COUNTIFS(PROGRAM_DIRECTORY!$A$2:$A$334, $N187:$AB187, PROGRAM_DIRECTORY!$D$2:$D$334, "Non-Stage", PROGRAM_DIRECTORY!$E$2:$E$334, "Individual"))</f>
        <v>0</v>
      </c>
      <c r="H187" s="75">
        <f>SUMPRODUCT(COUNTIFS(PROGRAM_DIRECTORY!$A$2:$A$334, $N187:$AB187, PROGRAM_DIRECTORY!$D$2:$D$334, "Stage", PROGRAM_DIRECTORY!$E$2:$E$334, "Individual"))</f>
        <v>0</v>
      </c>
      <c r="I187" s="75">
        <f>SUMPRODUCT(COUNTIFS(PROGRAM_DIRECTORY!$A$2:$A$334, $N187:$AB187, PROGRAM_DIRECTORY!$D$2:$D$334, "Sports"))</f>
        <v>0</v>
      </c>
      <c r="J187" s="75">
        <f>SUMPRODUCT(COUNTIFS(PROGRAM_DIRECTORY!$A$2:$A$334, $N187:$AB187, PROGRAM_DIRECTORY!$E$2:$E$334, "Individual"))</f>
        <v>0</v>
      </c>
      <c r="K187" s="75">
        <f>SUMPRODUCT(COUNTIFS(PROGRAM_DIRECTORY!$A$2:$A$334, $N187:$AB187, PROGRAM_DIRECTORY!$E$2:$E$334, "Group"))</f>
        <v>0</v>
      </c>
      <c r="L187" s="75">
        <f t="shared" si="1"/>
        <v>0</v>
      </c>
      <c r="M187" s="75" t="str">
        <f t="shared" si="2"/>
        <v>Min 1 Required (Stage &amp; Non-Stage)</v>
      </c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AC187" s="79" t="str">
        <f t="shared" si="3"/>
        <v/>
      </c>
    </row>
    <row r="188">
      <c r="A188" s="74">
        <v>315.0</v>
      </c>
      <c r="B188" s="74" t="s">
        <v>842</v>
      </c>
      <c r="C188" s="74">
        <v>4.0</v>
      </c>
      <c r="D188" s="74" t="s">
        <v>5</v>
      </c>
      <c r="E188" s="74" t="s">
        <v>195</v>
      </c>
      <c r="F188" s="74" t="s">
        <v>622</v>
      </c>
      <c r="G188" s="75">
        <f>SUMPRODUCT(COUNTIFS(PROGRAM_DIRECTORY!$A$2:$A$334, $N188:$AB188, PROGRAM_DIRECTORY!$D$2:$D$334, "Non-Stage", PROGRAM_DIRECTORY!$E$2:$E$334, "Individual"))</f>
        <v>0</v>
      </c>
      <c r="H188" s="75">
        <f>SUMPRODUCT(COUNTIFS(PROGRAM_DIRECTORY!$A$2:$A$334, $N188:$AB188, PROGRAM_DIRECTORY!$D$2:$D$334, "Stage", PROGRAM_DIRECTORY!$E$2:$E$334, "Individual"))</f>
        <v>0</v>
      </c>
      <c r="I188" s="75">
        <f>SUMPRODUCT(COUNTIFS(PROGRAM_DIRECTORY!$A$2:$A$334, $N188:$AB188, PROGRAM_DIRECTORY!$D$2:$D$334, "Sports"))</f>
        <v>0</v>
      </c>
      <c r="J188" s="75">
        <f>SUMPRODUCT(COUNTIFS(PROGRAM_DIRECTORY!$A$2:$A$334, $N188:$AB188, PROGRAM_DIRECTORY!$E$2:$E$334, "Individual"))</f>
        <v>0</v>
      </c>
      <c r="K188" s="75">
        <f>SUMPRODUCT(COUNTIFS(PROGRAM_DIRECTORY!$A$2:$A$334, $N188:$AB188, PROGRAM_DIRECTORY!$E$2:$E$334, "Group"))</f>
        <v>0</v>
      </c>
      <c r="L188" s="75">
        <f t="shared" si="1"/>
        <v>0</v>
      </c>
      <c r="M188" s="75" t="str">
        <f t="shared" si="2"/>
        <v>Min 1 Required (Stage &amp; Non-Stage)</v>
      </c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AC188" s="79" t="str">
        <f t="shared" si="3"/>
        <v/>
      </c>
    </row>
    <row r="189">
      <c r="A189" s="74">
        <v>316.0</v>
      </c>
      <c r="B189" s="74" t="s">
        <v>843</v>
      </c>
      <c r="C189" s="74">
        <v>4.0</v>
      </c>
      <c r="D189" s="74" t="s">
        <v>5</v>
      </c>
      <c r="E189" s="74" t="s">
        <v>380</v>
      </c>
      <c r="F189" s="74" t="s">
        <v>622</v>
      </c>
      <c r="G189" s="75">
        <f>SUMPRODUCT(COUNTIFS(PROGRAM_DIRECTORY!$A$2:$A$334, $N189:$AB189, PROGRAM_DIRECTORY!$D$2:$D$334, "Non-Stage", PROGRAM_DIRECTORY!$E$2:$E$334, "Individual"))</f>
        <v>0</v>
      </c>
      <c r="H189" s="75">
        <f>SUMPRODUCT(COUNTIFS(PROGRAM_DIRECTORY!$A$2:$A$334, $N189:$AB189, PROGRAM_DIRECTORY!$D$2:$D$334, "Stage", PROGRAM_DIRECTORY!$E$2:$E$334, "Individual"))</f>
        <v>0</v>
      </c>
      <c r="I189" s="75">
        <f>SUMPRODUCT(COUNTIFS(PROGRAM_DIRECTORY!$A$2:$A$334, $N189:$AB189, PROGRAM_DIRECTORY!$D$2:$D$334, "Sports"))</f>
        <v>0</v>
      </c>
      <c r="J189" s="75">
        <f>SUMPRODUCT(COUNTIFS(PROGRAM_DIRECTORY!$A$2:$A$334, $N189:$AB189, PROGRAM_DIRECTORY!$E$2:$E$334, "Individual"))</f>
        <v>0</v>
      </c>
      <c r="K189" s="75">
        <f>SUMPRODUCT(COUNTIFS(PROGRAM_DIRECTORY!$A$2:$A$334, $N189:$AB189, PROGRAM_DIRECTORY!$E$2:$E$334, "Group"))</f>
        <v>0</v>
      </c>
      <c r="L189" s="75">
        <f t="shared" si="1"/>
        <v>0</v>
      </c>
      <c r="M189" s="75" t="str">
        <f t="shared" si="2"/>
        <v>Min 1 Required (Stage &amp; Non-Stage)</v>
      </c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AC189" s="79" t="str">
        <f t="shared" si="3"/>
        <v/>
      </c>
    </row>
    <row r="190">
      <c r="A190" s="74">
        <v>324.0</v>
      </c>
      <c r="B190" s="74" t="s">
        <v>844</v>
      </c>
      <c r="C190" s="74">
        <v>4.0</v>
      </c>
      <c r="D190" s="74" t="s">
        <v>5</v>
      </c>
      <c r="E190" s="74" t="s">
        <v>380</v>
      </c>
      <c r="F190" s="74" t="s">
        <v>622</v>
      </c>
      <c r="G190" s="75">
        <f>SUMPRODUCT(COUNTIFS(PROGRAM_DIRECTORY!$A$2:$A$334, $N190:$AB190, PROGRAM_DIRECTORY!$D$2:$D$334, "Non-Stage", PROGRAM_DIRECTORY!$E$2:$E$334, "Individual"))</f>
        <v>0</v>
      </c>
      <c r="H190" s="75">
        <f>SUMPRODUCT(COUNTIFS(PROGRAM_DIRECTORY!$A$2:$A$334, $N190:$AB190, PROGRAM_DIRECTORY!$D$2:$D$334, "Stage", PROGRAM_DIRECTORY!$E$2:$E$334, "Individual"))</f>
        <v>0</v>
      </c>
      <c r="I190" s="75">
        <f>SUMPRODUCT(COUNTIFS(PROGRAM_DIRECTORY!$A$2:$A$334, $N190:$AB190, PROGRAM_DIRECTORY!$D$2:$D$334, "Sports"))</f>
        <v>0</v>
      </c>
      <c r="J190" s="75">
        <f>SUMPRODUCT(COUNTIFS(PROGRAM_DIRECTORY!$A$2:$A$334, $N190:$AB190, PROGRAM_DIRECTORY!$E$2:$E$334, "Individual"))</f>
        <v>0</v>
      </c>
      <c r="K190" s="75">
        <f>SUMPRODUCT(COUNTIFS(PROGRAM_DIRECTORY!$A$2:$A$334, $N190:$AB190, PROGRAM_DIRECTORY!$E$2:$E$334, "Group"))</f>
        <v>0</v>
      </c>
      <c r="L190" s="75">
        <f t="shared" si="1"/>
        <v>0</v>
      </c>
      <c r="M190" s="75" t="str">
        <f t="shared" si="2"/>
        <v>Min 1 Required (Stage &amp; Non-Stage)</v>
      </c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AC190" s="79" t="str">
        <f t="shared" si="3"/>
        <v/>
      </c>
    </row>
    <row r="191">
      <c r="A191" s="74">
        <v>320.0</v>
      </c>
      <c r="B191" s="74" t="s">
        <v>845</v>
      </c>
      <c r="C191" s="74">
        <v>4.0</v>
      </c>
      <c r="D191" s="74" t="s">
        <v>5</v>
      </c>
      <c r="E191" s="74" t="s">
        <v>450</v>
      </c>
      <c r="F191" s="74" t="s">
        <v>622</v>
      </c>
      <c r="G191" s="75">
        <f>SUMPRODUCT(COUNTIFS(PROGRAM_DIRECTORY!$A$2:$A$334, $N191:$AB191, PROGRAM_DIRECTORY!$D$2:$D$334, "Non-Stage", PROGRAM_DIRECTORY!$E$2:$E$334, "Individual"))</f>
        <v>0</v>
      </c>
      <c r="H191" s="75">
        <f>SUMPRODUCT(COUNTIFS(PROGRAM_DIRECTORY!$A$2:$A$334, $N191:$AB191, PROGRAM_DIRECTORY!$D$2:$D$334, "Stage", PROGRAM_DIRECTORY!$E$2:$E$334, "Individual"))</f>
        <v>0</v>
      </c>
      <c r="I191" s="75">
        <f>SUMPRODUCT(COUNTIFS(PROGRAM_DIRECTORY!$A$2:$A$334, $N191:$AB191, PROGRAM_DIRECTORY!$D$2:$D$334, "Sports"))</f>
        <v>0</v>
      </c>
      <c r="J191" s="75">
        <f>SUMPRODUCT(COUNTIFS(PROGRAM_DIRECTORY!$A$2:$A$334, $N191:$AB191, PROGRAM_DIRECTORY!$E$2:$E$334, "Individual"))</f>
        <v>0</v>
      </c>
      <c r="K191" s="75">
        <f>SUMPRODUCT(COUNTIFS(PROGRAM_DIRECTORY!$A$2:$A$334, $N191:$AB191, PROGRAM_DIRECTORY!$E$2:$E$334, "Group"))</f>
        <v>0</v>
      </c>
      <c r="L191" s="75">
        <f t="shared" si="1"/>
        <v>0</v>
      </c>
      <c r="M191" s="75" t="str">
        <f t="shared" si="2"/>
        <v>Min 1 Required (Stage &amp; Non-Stage)</v>
      </c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AC191" s="79" t="str">
        <f t="shared" si="3"/>
        <v/>
      </c>
    </row>
    <row r="192">
      <c r="A192" s="74">
        <v>322.0</v>
      </c>
      <c r="B192" s="74" t="s">
        <v>846</v>
      </c>
      <c r="C192" s="74">
        <v>4.0</v>
      </c>
      <c r="D192" s="74" t="s">
        <v>5</v>
      </c>
      <c r="E192" s="74" t="s">
        <v>331</v>
      </c>
      <c r="F192" s="74" t="s">
        <v>622</v>
      </c>
      <c r="G192" s="75">
        <f>SUMPRODUCT(COUNTIFS(PROGRAM_DIRECTORY!$A$2:$A$334, $N192:$AB192, PROGRAM_DIRECTORY!$D$2:$D$334, "Non-Stage", PROGRAM_DIRECTORY!$E$2:$E$334, "Individual"))</f>
        <v>0</v>
      </c>
      <c r="H192" s="75">
        <f>SUMPRODUCT(COUNTIFS(PROGRAM_DIRECTORY!$A$2:$A$334, $N192:$AB192, PROGRAM_DIRECTORY!$D$2:$D$334, "Stage", PROGRAM_DIRECTORY!$E$2:$E$334, "Individual"))</f>
        <v>0</v>
      </c>
      <c r="I192" s="75">
        <f>SUMPRODUCT(COUNTIFS(PROGRAM_DIRECTORY!$A$2:$A$334, $N192:$AB192, PROGRAM_DIRECTORY!$D$2:$D$334, "Sports"))</f>
        <v>0</v>
      </c>
      <c r="J192" s="75">
        <f>SUMPRODUCT(COUNTIFS(PROGRAM_DIRECTORY!$A$2:$A$334, $N192:$AB192, PROGRAM_DIRECTORY!$E$2:$E$334, "Individual"))</f>
        <v>0</v>
      </c>
      <c r="K192" s="75">
        <f>SUMPRODUCT(COUNTIFS(PROGRAM_DIRECTORY!$A$2:$A$334, $N192:$AB192, PROGRAM_DIRECTORY!$E$2:$E$334, "Group"))</f>
        <v>0</v>
      </c>
      <c r="L192" s="75">
        <f t="shared" si="1"/>
        <v>0</v>
      </c>
      <c r="M192" s="75" t="str">
        <f t="shared" si="2"/>
        <v>Min 1 Required (Stage &amp; Non-Stage)</v>
      </c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AC192" s="79" t="str">
        <f t="shared" si="3"/>
        <v/>
      </c>
    </row>
    <row r="193">
      <c r="A193" s="74">
        <v>257.0</v>
      </c>
      <c r="B193" s="74" t="s">
        <v>847</v>
      </c>
      <c r="C193" s="74">
        <v>4.0</v>
      </c>
      <c r="D193" s="74" t="s">
        <v>5</v>
      </c>
      <c r="E193" s="74" t="s">
        <v>450</v>
      </c>
      <c r="F193" s="74" t="s">
        <v>622</v>
      </c>
      <c r="G193" s="75">
        <f>SUMPRODUCT(COUNTIFS(PROGRAM_DIRECTORY!$A$2:$A$334, $N193:$AB193, PROGRAM_DIRECTORY!$D$2:$D$334, "Non-Stage", PROGRAM_DIRECTORY!$E$2:$E$334, "Individual"))</f>
        <v>0</v>
      </c>
      <c r="H193" s="75">
        <f>SUMPRODUCT(COUNTIFS(PROGRAM_DIRECTORY!$A$2:$A$334, $N193:$AB193, PROGRAM_DIRECTORY!$D$2:$D$334, "Stage", PROGRAM_DIRECTORY!$E$2:$E$334, "Individual"))</f>
        <v>0</v>
      </c>
      <c r="I193" s="75">
        <f>SUMPRODUCT(COUNTIFS(PROGRAM_DIRECTORY!$A$2:$A$334, $N193:$AB193, PROGRAM_DIRECTORY!$D$2:$D$334, "Sports"))</f>
        <v>0</v>
      </c>
      <c r="J193" s="75">
        <f>SUMPRODUCT(COUNTIFS(PROGRAM_DIRECTORY!$A$2:$A$334, $N193:$AB193, PROGRAM_DIRECTORY!$E$2:$E$334, "Individual"))</f>
        <v>0</v>
      </c>
      <c r="K193" s="75">
        <f>SUMPRODUCT(COUNTIFS(PROGRAM_DIRECTORY!$A$2:$A$334, $N193:$AB193, PROGRAM_DIRECTORY!$E$2:$E$334, "Group"))</f>
        <v>0</v>
      </c>
      <c r="L193" s="75">
        <f t="shared" si="1"/>
        <v>0</v>
      </c>
      <c r="M193" s="75" t="str">
        <f t="shared" si="2"/>
        <v>Min 1 Required (Stage &amp; Non-Stage)</v>
      </c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AC193" s="79" t="str">
        <f t="shared" si="3"/>
        <v/>
      </c>
    </row>
    <row r="194">
      <c r="A194" s="74">
        <v>321.0</v>
      </c>
      <c r="B194" s="74" t="s">
        <v>848</v>
      </c>
      <c r="C194" s="74">
        <v>4.0</v>
      </c>
      <c r="D194" s="74" t="s">
        <v>5</v>
      </c>
      <c r="E194" s="74" t="s">
        <v>195</v>
      </c>
      <c r="F194" s="74" t="s">
        <v>622</v>
      </c>
      <c r="G194" s="75">
        <f>SUMPRODUCT(COUNTIFS(PROGRAM_DIRECTORY!$A$2:$A$334, $N194:$AB194, PROGRAM_DIRECTORY!$D$2:$D$334, "Non-Stage", PROGRAM_DIRECTORY!$E$2:$E$334, "Individual"))</f>
        <v>0</v>
      </c>
      <c r="H194" s="75">
        <f>SUMPRODUCT(COUNTIFS(PROGRAM_DIRECTORY!$A$2:$A$334, $N194:$AB194, PROGRAM_DIRECTORY!$D$2:$D$334, "Stage", PROGRAM_DIRECTORY!$E$2:$E$334, "Individual"))</f>
        <v>0</v>
      </c>
      <c r="I194" s="75">
        <f>SUMPRODUCT(COUNTIFS(PROGRAM_DIRECTORY!$A$2:$A$334, $N194:$AB194, PROGRAM_DIRECTORY!$D$2:$D$334, "Sports"))</f>
        <v>0</v>
      </c>
      <c r="J194" s="75">
        <f>SUMPRODUCT(COUNTIFS(PROGRAM_DIRECTORY!$A$2:$A$334, $N194:$AB194, PROGRAM_DIRECTORY!$E$2:$E$334, "Individual"))</f>
        <v>0</v>
      </c>
      <c r="K194" s="75">
        <f>SUMPRODUCT(COUNTIFS(PROGRAM_DIRECTORY!$A$2:$A$334, $N194:$AB194, PROGRAM_DIRECTORY!$E$2:$E$334, "Group"))</f>
        <v>0</v>
      </c>
      <c r="L194" s="75">
        <f t="shared" si="1"/>
        <v>0</v>
      </c>
      <c r="M194" s="75" t="str">
        <f t="shared" si="2"/>
        <v>Min 1 Required (Stage &amp; Non-Stage)</v>
      </c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AC194" s="79" t="str">
        <f t="shared" si="3"/>
        <v/>
      </c>
    </row>
    <row r="195">
      <c r="A195" s="74">
        <v>317.0</v>
      </c>
      <c r="B195" s="74" t="s">
        <v>849</v>
      </c>
      <c r="C195" s="74">
        <v>4.0</v>
      </c>
      <c r="D195" s="74" t="s">
        <v>5</v>
      </c>
      <c r="E195" s="74" t="s">
        <v>195</v>
      </c>
      <c r="F195" s="74" t="s">
        <v>622</v>
      </c>
      <c r="G195" s="75">
        <f>SUMPRODUCT(COUNTIFS(PROGRAM_DIRECTORY!$A$2:$A$334, $N195:$AB195, PROGRAM_DIRECTORY!$D$2:$D$334, "Non-Stage", PROGRAM_DIRECTORY!$E$2:$E$334, "Individual"))</f>
        <v>0</v>
      </c>
      <c r="H195" s="75">
        <f>SUMPRODUCT(COUNTIFS(PROGRAM_DIRECTORY!$A$2:$A$334, $N195:$AB195, PROGRAM_DIRECTORY!$D$2:$D$334, "Stage", PROGRAM_DIRECTORY!$E$2:$E$334, "Individual"))</f>
        <v>0</v>
      </c>
      <c r="I195" s="75">
        <f>SUMPRODUCT(COUNTIFS(PROGRAM_DIRECTORY!$A$2:$A$334, $N195:$AB195, PROGRAM_DIRECTORY!$D$2:$D$334, "Sports"))</f>
        <v>0</v>
      </c>
      <c r="J195" s="75">
        <f>SUMPRODUCT(COUNTIFS(PROGRAM_DIRECTORY!$A$2:$A$334, $N195:$AB195, PROGRAM_DIRECTORY!$E$2:$E$334, "Individual"))</f>
        <v>0</v>
      </c>
      <c r="K195" s="75">
        <f>SUMPRODUCT(COUNTIFS(PROGRAM_DIRECTORY!$A$2:$A$334, $N195:$AB195, PROGRAM_DIRECTORY!$E$2:$E$334, "Group"))</f>
        <v>0</v>
      </c>
      <c r="L195" s="75">
        <f t="shared" si="1"/>
        <v>0</v>
      </c>
      <c r="M195" s="75" t="str">
        <f t="shared" si="2"/>
        <v>Min 1 Required (Stage &amp; Non-Stage)</v>
      </c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AC195" s="79" t="str">
        <f t="shared" si="3"/>
        <v/>
      </c>
    </row>
    <row r="196">
      <c r="A196" s="74">
        <v>323.0</v>
      </c>
      <c r="B196" s="74" t="s">
        <v>850</v>
      </c>
      <c r="C196" s="74">
        <v>4.0</v>
      </c>
      <c r="D196" s="74" t="s">
        <v>5</v>
      </c>
      <c r="E196" s="74" t="s">
        <v>195</v>
      </c>
      <c r="F196" s="74" t="s">
        <v>622</v>
      </c>
      <c r="G196" s="75">
        <f>SUMPRODUCT(COUNTIFS(PROGRAM_DIRECTORY!$A$2:$A$334, $N196:$AB196, PROGRAM_DIRECTORY!$D$2:$D$334, "Non-Stage", PROGRAM_DIRECTORY!$E$2:$E$334, "Individual"))</f>
        <v>0</v>
      </c>
      <c r="H196" s="75">
        <f>SUMPRODUCT(COUNTIFS(PROGRAM_DIRECTORY!$A$2:$A$334, $N196:$AB196, PROGRAM_DIRECTORY!$D$2:$D$334, "Stage", PROGRAM_DIRECTORY!$E$2:$E$334, "Individual"))</f>
        <v>0</v>
      </c>
      <c r="I196" s="75">
        <f>SUMPRODUCT(COUNTIFS(PROGRAM_DIRECTORY!$A$2:$A$334, $N196:$AB196, PROGRAM_DIRECTORY!$D$2:$D$334, "Sports"))</f>
        <v>0</v>
      </c>
      <c r="J196" s="75">
        <f>SUMPRODUCT(COUNTIFS(PROGRAM_DIRECTORY!$A$2:$A$334, $N196:$AB196, PROGRAM_DIRECTORY!$E$2:$E$334, "Individual"))</f>
        <v>0</v>
      </c>
      <c r="K196" s="75">
        <f>SUMPRODUCT(COUNTIFS(PROGRAM_DIRECTORY!$A$2:$A$334, $N196:$AB196, PROGRAM_DIRECTORY!$E$2:$E$334, "Group"))</f>
        <v>0</v>
      </c>
      <c r="L196" s="75">
        <f t="shared" si="1"/>
        <v>0</v>
      </c>
      <c r="M196" s="75" t="str">
        <f t="shared" si="2"/>
        <v>Min 1 Required (Stage &amp; Non-Stage)</v>
      </c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AC196" s="79" t="str">
        <f t="shared" si="3"/>
        <v/>
      </c>
    </row>
    <row r="197">
      <c r="A197" s="74">
        <v>343.0</v>
      </c>
      <c r="B197" s="74" t="s">
        <v>851</v>
      </c>
      <c r="C197" s="74">
        <v>4.0</v>
      </c>
      <c r="D197" s="74" t="s">
        <v>5</v>
      </c>
      <c r="E197" s="74" t="s">
        <v>331</v>
      </c>
      <c r="F197" s="74" t="s">
        <v>622</v>
      </c>
      <c r="G197" s="75">
        <f>SUMPRODUCT(COUNTIFS(PROGRAM_DIRECTORY!$A$2:$A$334, $N197:$AB197, PROGRAM_DIRECTORY!$D$2:$D$334, "Non-Stage", PROGRAM_DIRECTORY!$E$2:$E$334, "Individual"))</f>
        <v>0</v>
      </c>
      <c r="H197" s="75">
        <f>SUMPRODUCT(COUNTIFS(PROGRAM_DIRECTORY!$A$2:$A$334, $N197:$AB197, PROGRAM_DIRECTORY!$D$2:$D$334, "Stage", PROGRAM_DIRECTORY!$E$2:$E$334, "Individual"))</f>
        <v>0</v>
      </c>
      <c r="I197" s="75">
        <f>SUMPRODUCT(COUNTIFS(PROGRAM_DIRECTORY!$A$2:$A$334, $N197:$AB197, PROGRAM_DIRECTORY!$D$2:$D$334, "Sports"))</f>
        <v>0</v>
      </c>
      <c r="J197" s="75">
        <f>SUMPRODUCT(COUNTIFS(PROGRAM_DIRECTORY!$A$2:$A$334, $N197:$AB197, PROGRAM_DIRECTORY!$E$2:$E$334, "Individual"))</f>
        <v>0</v>
      </c>
      <c r="K197" s="75">
        <f>SUMPRODUCT(COUNTIFS(PROGRAM_DIRECTORY!$A$2:$A$334, $N197:$AB197, PROGRAM_DIRECTORY!$E$2:$E$334, "Group"))</f>
        <v>0</v>
      </c>
      <c r="L197" s="75">
        <f t="shared" si="1"/>
        <v>0</v>
      </c>
      <c r="M197" s="75" t="str">
        <f t="shared" si="2"/>
        <v>Min 1 Required (Stage &amp; Non-Stage)</v>
      </c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AC197" s="79" t="str">
        <f t="shared" si="3"/>
        <v/>
      </c>
    </row>
    <row r="198">
      <c r="A198" s="74">
        <v>331.0</v>
      </c>
      <c r="B198" s="74" t="s">
        <v>852</v>
      </c>
      <c r="C198" s="74">
        <v>4.0</v>
      </c>
      <c r="D198" s="74" t="s">
        <v>5</v>
      </c>
      <c r="E198" s="74" t="s">
        <v>450</v>
      </c>
      <c r="F198" s="74" t="s">
        <v>622</v>
      </c>
      <c r="G198" s="75">
        <f>SUMPRODUCT(COUNTIFS(PROGRAM_DIRECTORY!$A$2:$A$334, $N198:$AB198, PROGRAM_DIRECTORY!$D$2:$D$334, "Non-Stage", PROGRAM_DIRECTORY!$E$2:$E$334, "Individual"))</f>
        <v>0</v>
      </c>
      <c r="H198" s="75">
        <f>SUMPRODUCT(COUNTIFS(PROGRAM_DIRECTORY!$A$2:$A$334, $N198:$AB198, PROGRAM_DIRECTORY!$D$2:$D$334, "Stage", PROGRAM_DIRECTORY!$E$2:$E$334, "Individual"))</f>
        <v>0</v>
      </c>
      <c r="I198" s="75">
        <f>SUMPRODUCT(COUNTIFS(PROGRAM_DIRECTORY!$A$2:$A$334, $N198:$AB198, PROGRAM_DIRECTORY!$D$2:$D$334, "Sports"))</f>
        <v>0</v>
      </c>
      <c r="J198" s="75">
        <f>SUMPRODUCT(COUNTIFS(PROGRAM_DIRECTORY!$A$2:$A$334, $N198:$AB198, PROGRAM_DIRECTORY!$E$2:$E$334, "Individual"))</f>
        <v>0</v>
      </c>
      <c r="K198" s="75">
        <f>SUMPRODUCT(COUNTIFS(PROGRAM_DIRECTORY!$A$2:$A$334, $N198:$AB198, PROGRAM_DIRECTORY!$E$2:$E$334, "Group"))</f>
        <v>0</v>
      </c>
      <c r="L198" s="75">
        <f t="shared" si="1"/>
        <v>0</v>
      </c>
      <c r="M198" s="75" t="str">
        <f t="shared" si="2"/>
        <v>Min 1 Required (Stage &amp; Non-Stage)</v>
      </c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AC198" s="79" t="str">
        <f t="shared" si="3"/>
        <v/>
      </c>
    </row>
    <row r="199">
      <c r="A199" s="74">
        <v>274.0</v>
      </c>
      <c r="B199" s="74" t="s">
        <v>853</v>
      </c>
      <c r="C199" s="74">
        <v>4.0</v>
      </c>
      <c r="D199" s="74" t="s">
        <v>5</v>
      </c>
      <c r="E199" s="74" t="s">
        <v>380</v>
      </c>
      <c r="F199" s="74" t="s">
        <v>622</v>
      </c>
      <c r="G199" s="75">
        <f>SUMPRODUCT(COUNTIFS(PROGRAM_DIRECTORY!$A$2:$A$334, $N199:$AB199, PROGRAM_DIRECTORY!$D$2:$D$334, "Non-Stage", PROGRAM_DIRECTORY!$E$2:$E$334, "Individual"))</f>
        <v>0</v>
      </c>
      <c r="H199" s="75">
        <f>SUMPRODUCT(COUNTIFS(PROGRAM_DIRECTORY!$A$2:$A$334, $N199:$AB199, PROGRAM_DIRECTORY!$D$2:$D$334, "Stage", PROGRAM_DIRECTORY!$E$2:$E$334, "Individual"))</f>
        <v>0</v>
      </c>
      <c r="I199" s="75">
        <f>SUMPRODUCT(COUNTIFS(PROGRAM_DIRECTORY!$A$2:$A$334, $N199:$AB199, PROGRAM_DIRECTORY!$D$2:$D$334, "Sports"))</f>
        <v>0</v>
      </c>
      <c r="J199" s="75">
        <f>SUMPRODUCT(COUNTIFS(PROGRAM_DIRECTORY!$A$2:$A$334, $N199:$AB199, PROGRAM_DIRECTORY!$E$2:$E$334, "Individual"))</f>
        <v>0</v>
      </c>
      <c r="K199" s="75">
        <f>SUMPRODUCT(COUNTIFS(PROGRAM_DIRECTORY!$A$2:$A$334, $N199:$AB199, PROGRAM_DIRECTORY!$E$2:$E$334, "Group"))</f>
        <v>0</v>
      </c>
      <c r="L199" s="75">
        <f t="shared" si="1"/>
        <v>0</v>
      </c>
      <c r="M199" s="75" t="str">
        <f t="shared" si="2"/>
        <v>Min 1 Required (Stage &amp; Non-Stage)</v>
      </c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AC199" s="79" t="str">
        <f t="shared" si="3"/>
        <v/>
      </c>
    </row>
    <row r="200">
      <c r="A200" s="74">
        <v>339.0</v>
      </c>
      <c r="B200" s="74" t="s">
        <v>854</v>
      </c>
      <c r="C200" s="74">
        <v>4.0</v>
      </c>
      <c r="D200" s="74" t="s">
        <v>5</v>
      </c>
      <c r="E200" s="74" t="s">
        <v>380</v>
      </c>
      <c r="F200" s="74" t="s">
        <v>622</v>
      </c>
      <c r="G200" s="75">
        <f>SUMPRODUCT(COUNTIFS(PROGRAM_DIRECTORY!$A$2:$A$334, $N200:$AB200, PROGRAM_DIRECTORY!$D$2:$D$334, "Non-Stage", PROGRAM_DIRECTORY!$E$2:$E$334, "Individual"))</f>
        <v>0</v>
      </c>
      <c r="H200" s="75">
        <f>SUMPRODUCT(COUNTIFS(PROGRAM_DIRECTORY!$A$2:$A$334, $N200:$AB200, PROGRAM_DIRECTORY!$D$2:$D$334, "Stage", PROGRAM_DIRECTORY!$E$2:$E$334, "Individual"))</f>
        <v>0</v>
      </c>
      <c r="I200" s="75">
        <f>SUMPRODUCT(COUNTIFS(PROGRAM_DIRECTORY!$A$2:$A$334, $N200:$AB200, PROGRAM_DIRECTORY!$D$2:$D$334, "Sports"))</f>
        <v>0</v>
      </c>
      <c r="J200" s="75">
        <f>SUMPRODUCT(COUNTIFS(PROGRAM_DIRECTORY!$A$2:$A$334, $N200:$AB200, PROGRAM_DIRECTORY!$E$2:$E$334, "Individual"))</f>
        <v>0</v>
      </c>
      <c r="K200" s="75">
        <f>SUMPRODUCT(COUNTIFS(PROGRAM_DIRECTORY!$A$2:$A$334, $N200:$AB200, PROGRAM_DIRECTORY!$E$2:$E$334, "Group"))</f>
        <v>0</v>
      </c>
      <c r="L200" s="75">
        <f t="shared" si="1"/>
        <v>0</v>
      </c>
      <c r="M200" s="75" t="str">
        <f t="shared" si="2"/>
        <v>Min 1 Required (Stage &amp; Non-Stage)</v>
      </c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AC200" s="79" t="str">
        <f t="shared" si="3"/>
        <v/>
      </c>
    </row>
    <row r="201">
      <c r="A201" s="74">
        <v>308.0</v>
      </c>
      <c r="B201" s="74" t="s">
        <v>855</v>
      </c>
      <c r="C201" s="74">
        <v>4.0</v>
      </c>
      <c r="D201" s="74" t="s">
        <v>5</v>
      </c>
      <c r="E201" s="74" t="s">
        <v>331</v>
      </c>
      <c r="F201" s="74" t="s">
        <v>622</v>
      </c>
      <c r="G201" s="75">
        <f>SUMPRODUCT(COUNTIFS(PROGRAM_DIRECTORY!$A$2:$A$334, $N201:$AB201, PROGRAM_DIRECTORY!$D$2:$D$334, "Non-Stage", PROGRAM_DIRECTORY!$E$2:$E$334, "Individual"))</f>
        <v>0</v>
      </c>
      <c r="H201" s="75">
        <f>SUMPRODUCT(COUNTIFS(PROGRAM_DIRECTORY!$A$2:$A$334, $N201:$AB201, PROGRAM_DIRECTORY!$D$2:$D$334, "Stage", PROGRAM_DIRECTORY!$E$2:$E$334, "Individual"))</f>
        <v>0</v>
      </c>
      <c r="I201" s="75">
        <f>SUMPRODUCT(COUNTIFS(PROGRAM_DIRECTORY!$A$2:$A$334, $N201:$AB201, PROGRAM_DIRECTORY!$D$2:$D$334, "Sports"))</f>
        <v>0</v>
      </c>
      <c r="J201" s="75">
        <f>SUMPRODUCT(COUNTIFS(PROGRAM_DIRECTORY!$A$2:$A$334, $N201:$AB201, PROGRAM_DIRECTORY!$E$2:$E$334, "Individual"))</f>
        <v>0</v>
      </c>
      <c r="K201" s="75">
        <f>SUMPRODUCT(COUNTIFS(PROGRAM_DIRECTORY!$A$2:$A$334, $N201:$AB201, PROGRAM_DIRECTORY!$E$2:$E$334, "Group"))</f>
        <v>0</v>
      </c>
      <c r="L201" s="75">
        <f t="shared" si="1"/>
        <v>0</v>
      </c>
      <c r="M201" s="75" t="str">
        <f t="shared" si="2"/>
        <v>Min 1 Required (Stage &amp; Non-Stage)</v>
      </c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AC201" s="79" t="str">
        <f t="shared" si="3"/>
        <v/>
      </c>
    </row>
    <row r="202">
      <c r="A202" s="74">
        <v>273.0</v>
      </c>
      <c r="B202" s="74" t="s">
        <v>856</v>
      </c>
      <c r="C202" s="74">
        <v>4.0</v>
      </c>
      <c r="D202" s="74" t="s">
        <v>5</v>
      </c>
      <c r="E202" s="74" t="s">
        <v>380</v>
      </c>
      <c r="F202" s="74" t="s">
        <v>622</v>
      </c>
      <c r="G202" s="75">
        <f>SUMPRODUCT(COUNTIFS(PROGRAM_DIRECTORY!$A$2:$A$334, $N202:$AB202, PROGRAM_DIRECTORY!$D$2:$D$334, "Non-Stage", PROGRAM_DIRECTORY!$E$2:$E$334, "Individual"))</f>
        <v>0</v>
      </c>
      <c r="H202" s="75">
        <f>SUMPRODUCT(COUNTIFS(PROGRAM_DIRECTORY!$A$2:$A$334, $N202:$AB202, PROGRAM_DIRECTORY!$D$2:$D$334, "Stage", PROGRAM_DIRECTORY!$E$2:$E$334, "Individual"))</f>
        <v>0</v>
      </c>
      <c r="I202" s="75">
        <f>SUMPRODUCT(COUNTIFS(PROGRAM_DIRECTORY!$A$2:$A$334, $N202:$AB202, PROGRAM_DIRECTORY!$D$2:$D$334, "Sports"))</f>
        <v>0</v>
      </c>
      <c r="J202" s="75">
        <f>SUMPRODUCT(COUNTIFS(PROGRAM_DIRECTORY!$A$2:$A$334, $N202:$AB202, PROGRAM_DIRECTORY!$E$2:$E$334, "Individual"))</f>
        <v>0</v>
      </c>
      <c r="K202" s="75">
        <f>SUMPRODUCT(COUNTIFS(PROGRAM_DIRECTORY!$A$2:$A$334, $N202:$AB202, PROGRAM_DIRECTORY!$E$2:$E$334, "Group"))</f>
        <v>0</v>
      </c>
      <c r="L202" s="75">
        <f t="shared" si="1"/>
        <v>0</v>
      </c>
      <c r="M202" s="75" t="str">
        <f t="shared" si="2"/>
        <v>Min 1 Required (Stage &amp; Non-Stage)</v>
      </c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AC202" s="79" t="str">
        <f t="shared" si="3"/>
        <v/>
      </c>
    </row>
    <row r="203">
      <c r="A203" s="74">
        <v>352.0</v>
      </c>
      <c r="B203" s="74" t="s">
        <v>857</v>
      </c>
      <c r="C203" s="74">
        <v>4.0</v>
      </c>
      <c r="D203" s="74" t="s">
        <v>5</v>
      </c>
      <c r="E203" s="74" t="s">
        <v>195</v>
      </c>
      <c r="F203" s="74" t="s">
        <v>622</v>
      </c>
      <c r="G203" s="75">
        <f>SUMPRODUCT(COUNTIFS(PROGRAM_DIRECTORY!$A$2:$A$334, $N203:$AB203, PROGRAM_DIRECTORY!$D$2:$D$334, "Non-Stage", PROGRAM_DIRECTORY!$E$2:$E$334, "Individual"))</f>
        <v>0</v>
      </c>
      <c r="H203" s="75">
        <f>SUMPRODUCT(COUNTIFS(PROGRAM_DIRECTORY!$A$2:$A$334, $N203:$AB203, PROGRAM_DIRECTORY!$D$2:$D$334, "Stage", PROGRAM_DIRECTORY!$E$2:$E$334, "Individual"))</f>
        <v>0</v>
      </c>
      <c r="I203" s="75">
        <f>SUMPRODUCT(COUNTIFS(PROGRAM_DIRECTORY!$A$2:$A$334, $N203:$AB203, PROGRAM_DIRECTORY!$D$2:$D$334, "Sports"))</f>
        <v>0</v>
      </c>
      <c r="J203" s="75">
        <f>SUMPRODUCT(COUNTIFS(PROGRAM_DIRECTORY!$A$2:$A$334, $N203:$AB203, PROGRAM_DIRECTORY!$E$2:$E$334, "Individual"))</f>
        <v>0</v>
      </c>
      <c r="K203" s="75">
        <f>SUMPRODUCT(COUNTIFS(PROGRAM_DIRECTORY!$A$2:$A$334, $N203:$AB203, PROGRAM_DIRECTORY!$E$2:$E$334, "Group"))</f>
        <v>0</v>
      </c>
      <c r="L203" s="75">
        <f t="shared" si="1"/>
        <v>0</v>
      </c>
      <c r="M203" s="75" t="str">
        <f t="shared" si="2"/>
        <v>Min 1 Required (Stage &amp; Non-Stage)</v>
      </c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AC203" s="79" t="str">
        <f t="shared" si="3"/>
        <v/>
      </c>
    </row>
    <row r="204">
      <c r="A204" s="74">
        <v>268.0</v>
      </c>
      <c r="B204" s="74" t="s">
        <v>858</v>
      </c>
      <c r="C204" s="74">
        <v>4.0</v>
      </c>
      <c r="D204" s="74" t="s">
        <v>5</v>
      </c>
      <c r="E204" s="74" t="s">
        <v>331</v>
      </c>
      <c r="F204" s="74" t="s">
        <v>622</v>
      </c>
      <c r="G204" s="75">
        <f>SUMPRODUCT(COUNTIFS(PROGRAM_DIRECTORY!$A$2:$A$334, $N204:$AB204, PROGRAM_DIRECTORY!$D$2:$D$334, "Non-Stage", PROGRAM_DIRECTORY!$E$2:$E$334, "Individual"))</f>
        <v>0</v>
      </c>
      <c r="H204" s="75">
        <f>SUMPRODUCT(COUNTIFS(PROGRAM_DIRECTORY!$A$2:$A$334, $N204:$AB204, PROGRAM_DIRECTORY!$D$2:$D$334, "Stage", PROGRAM_DIRECTORY!$E$2:$E$334, "Individual"))</f>
        <v>0</v>
      </c>
      <c r="I204" s="75">
        <f>SUMPRODUCT(COUNTIFS(PROGRAM_DIRECTORY!$A$2:$A$334, $N204:$AB204, PROGRAM_DIRECTORY!$D$2:$D$334, "Sports"))</f>
        <v>0</v>
      </c>
      <c r="J204" s="75">
        <f>SUMPRODUCT(COUNTIFS(PROGRAM_DIRECTORY!$A$2:$A$334, $N204:$AB204, PROGRAM_DIRECTORY!$E$2:$E$334, "Individual"))</f>
        <v>0</v>
      </c>
      <c r="K204" s="75">
        <f>SUMPRODUCT(COUNTIFS(PROGRAM_DIRECTORY!$A$2:$A$334, $N204:$AB204, PROGRAM_DIRECTORY!$E$2:$E$334, "Group"))</f>
        <v>0</v>
      </c>
      <c r="L204" s="75">
        <f t="shared" si="1"/>
        <v>0</v>
      </c>
      <c r="M204" s="75" t="str">
        <f t="shared" si="2"/>
        <v>Min 1 Required (Stage &amp; Non-Stage)</v>
      </c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AC204" s="79" t="str">
        <f t="shared" si="3"/>
        <v/>
      </c>
    </row>
    <row r="205">
      <c r="A205" s="74">
        <v>345.0</v>
      </c>
      <c r="B205" s="74" t="s">
        <v>859</v>
      </c>
      <c r="C205" s="74">
        <v>4.0</v>
      </c>
      <c r="D205" s="74" t="s">
        <v>5</v>
      </c>
      <c r="E205" s="74" t="s">
        <v>331</v>
      </c>
      <c r="F205" s="74" t="s">
        <v>622</v>
      </c>
      <c r="G205" s="75">
        <f>SUMPRODUCT(COUNTIFS(PROGRAM_DIRECTORY!$A$2:$A$334, $N205:$AB205, PROGRAM_DIRECTORY!$D$2:$D$334, "Non-Stage", PROGRAM_DIRECTORY!$E$2:$E$334, "Individual"))</f>
        <v>0</v>
      </c>
      <c r="H205" s="75">
        <f>SUMPRODUCT(COUNTIFS(PROGRAM_DIRECTORY!$A$2:$A$334, $N205:$AB205, PROGRAM_DIRECTORY!$D$2:$D$334, "Stage", PROGRAM_DIRECTORY!$E$2:$E$334, "Individual"))</f>
        <v>0</v>
      </c>
      <c r="I205" s="75">
        <f>SUMPRODUCT(COUNTIFS(PROGRAM_DIRECTORY!$A$2:$A$334, $N205:$AB205, PROGRAM_DIRECTORY!$D$2:$D$334, "Sports"))</f>
        <v>0</v>
      </c>
      <c r="J205" s="75">
        <f>SUMPRODUCT(COUNTIFS(PROGRAM_DIRECTORY!$A$2:$A$334, $N205:$AB205, PROGRAM_DIRECTORY!$E$2:$E$334, "Individual"))</f>
        <v>0</v>
      </c>
      <c r="K205" s="75">
        <f>SUMPRODUCT(COUNTIFS(PROGRAM_DIRECTORY!$A$2:$A$334, $N205:$AB205, PROGRAM_DIRECTORY!$E$2:$E$334, "Group"))</f>
        <v>0</v>
      </c>
      <c r="L205" s="75">
        <f t="shared" si="1"/>
        <v>0</v>
      </c>
      <c r="M205" s="75" t="str">
        <f t="shared" si="2"/>
        <v>Min 1 Required (Stage &amp; Non-Stage)</v>
      </c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AC205" s="79" t="str">
        <f t="shared" si="3"/>
        <v/>
      </c>
    </row>
    <row r="206">
      <c r="A206" s="74">
        <v>325.0</v>
      </c>
      <c r="B206" s="74" t="s">
        <v>860</v>
      </c>
      <c r="C206" s="74">
        <v>4.0</v>
      </c>
      <c r="D206" s="74" t="s">
        <v>5</v>
      </c>
      <c r="E206" s="74" t="s">
        <v>380</v>
      </c>
      <c r="F206" s="74" t="s">
        <v>622</v>
      </c>
      <c r="G206" s="75">
        <f>SUMPRODUCT(COUNTIFS(PROGRAM_DIRECTORY!$A$2:$A$334, $N206:$AB206, PROGRAM_DIRECTORY!$D$2:$D$334, "Non-Stage", PROGRAM_DIRECTORY!$E$2:$E$334, "Individual"))</f>
        <v>0</v>
      </c>
      <c r="H206" s="75">
        <f>SUMPRODUCT(COUNTIFS(PROGRAM_DIRECTORY!$A$2:$A$334, $N206:$AB206, PROGRAM_DIRECTORY!$D$2:$D$334, "Stage", PROGRAM_DIRECTORY!$E$2:$E$334, "Individual"))</f>
        <v>0</v>
      </c>
      <c r="I206" s="75">
        <f>SUMPRODUCT(COUNTIFS(PROGRAM_DIRECTORY!$A$2:$A$334, $N206:$AB206, PROGRAM_DIRECTORY!$D$2:$D$334, "Sports"))</f>
        <v>0</v>
      </c>
      <c r="J206" s="75">
        <f>SUMPRODUCT(COUNTIFS(PROGRAM_DIRECTORY!$A$2:$A$334, $N206:$AB206, PROGRAM_DIRECTORY!$E$2:$E$334, "Individual"))</f>
        <v>0</v>
      </c>
      <c r="K206" s="75">
        <f>SUMPRODUCT(COUNTIFS(PROGRAM_DIRECTORY!$A$2:$A$334, $N206:$AB206, PROGRAM_DIRECTORY!$E$2:$E$334, "Group"))</f>
        <v>0</v>
      </c>
      <c r="L206" s="75">
        <f t="shared" si="1"/>
        <v>0</v>
      </c>
      <c r="M206" s="75" t="str">
        <f t="shared" si="2"/>
        <v>Min 1 Required (Stage &amp; Non-Stage)</v>
      </c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AC206" s="79" t="str">
        <f t="shared" si="3"/>
        <v/>
      </c>
    </row>
    <row r="207">
      <c r="A207" s="74">
        <v>360.0</v>
      </c>
      <c r="B207" s="74" t="s">
        <v>861</v>
      </c>
      <c r="C207" s="74">
        <v>3.0</v>
      </c>
      <c r="D207" s="74" t="s">
        <v>4</v>
      </c>
      <c r="E207" s="74" t="s">
        <v>195</v>
      </c>
      <c r="F207" s="74" t="s">
        <v>622</v>
      </c>
      <c r="G207" s="75">
        <f>SUMPRODUCT(COUNTIFS(PROGRAM_DIRECTORY!$A$2:$A$334, $N207:$AB207, PROGRAM_DIRECTORY!$D$2:$D$334, "Non-Stage", PROGRAM_DIRECTORY!$E$2:$E$334, "Individual"))</f>
        <v>0</v>
      </c>
      <c r="H207" s="75">
        <f>SUMPRODUCT(COUNTIFS(PROGRAM_DIRECTORY!$A$2:$A$334, $N207:$AB207, PROGRAM_DIRECTORY!$D$2:$D$334, "Stage", PROGRAM_DIRECTORY!$E$2:$E$334, "Individual"))</f>
        <v>0</v>
      </c>
      <c r="I207" s="75">
        <f>SUMPRODUCT(COUNTIFS(PROGRAM_DIRECTORY!$A$2:$A$334, $N207:$AB207, PROGRAM_DIRECTORY!$D$2:$D$334, "Sports"))</f>
        <v>0</v>
      </c>
      <c r="J207" s="75">
        <f>SUMPRODUCT(COUNTIFS(PROGRAM_DIRECTORY!$A$2:$A$334, $N207:$AB207, PROGRAM_DIRECTORY!$E$2:$E$334, "Individual"))</f>
        <v>0</v>
      </c>
      <c r="K207" s="75">
        <f>SUMPRODUCT(COUNTIFS(PROGRAM_DIRECTORY!$A$2:$A$334, $N207:$AB207, PROGRAM_DIRECTORY!$E$2:$E$334, "Group"))</f>
        <v>0</v>
      </c>
      <c r="L207" s="75">
        <f t="shared" si="1"/>
        <v>0</v>
      </c>
      <c r="M207" s="75" t="str">
        <f t="shared" si="2"/>
        <v>Min 1 Required (Stage &amp; Non-Stage)</v>
      </c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AC207" s="79" t="str">
        <f t="shared" si="3"/>
        <v/>
      </c>
    </row>
    <row r="208">
      <c r="A208" s="74">
        <v>365.0</v>
      </c>
      <c r="B208" s="74" t="s">
        <v>862</v>
      </c>
      <c r="C208" s="74">
        <v>3.0</v>
      </c>
      <c r="D208" s="74" t="s">
        <v>4</v>
      </c>
      <c r="E208" s="74" t="s">
        <v>331</v>
      </c>
      <c r="F208" s="74" t="s">
        <v>622</v>
      </c>
      <c r="G208" s="75">
        <f>SUMPRODUCT(COUNTIFS(PROGRAM_DIRECTORY!$A$2:$A$334, $N208:$AB208, PROGRAM_DIRECTORY!$D$2:$D$334, "Non-Stage", PROGRAM_DIRECTORY!$E$2:$E$334, "Individual"))</f>
        <v>0</v>
      </c>
      <c r="H208" s="75">
        <f>SUMPRODUCT(COUNTIFS(PROGRAM_DIRECTORY!$A$2:$A$334, $N208:$AB208, PROGRAM_DIRECTORY!$D$2:$D$334, "Stage", PROGRAM_DIRECTORY!$E$2:$E$334, "Individual"))</f>
        <v>0</v>
      </c>
      <c r="I208" s="75">
        <f>SUMPRODUCT(COUNTIFS(PROGRAM_DIRECTORY!$A$2:$A$334, $N208:$AB208, PROGRAM_DIRECTORY!$D$2:$D$334, "Sports"))</f>
        <v>0</v>
      </c>
      <c r="J208" s="75">
        <f>SUMPRODUCT(COUNTIFS(PROGRAM_DIRECTORY!$A$2:$A$334, $N208:$AB208, PROGRAM_DIRECTORY!$E$2:$E$334, "Individual"))</f>
        <v>0</v>
      </c>
      <c r="K208" s="75">
        <f>SUMPRODUCT(COUNTIFS(PROGRAM_DIRECTORY!$A$2:$A$334, $N208:$AB208, PROGRAM_DIRECTORY!$E$2:$E$334, "Group"))</f>
        <v>0</v>
      </c>
      <c r="L208" s="75">
        <f t="shared" si="1"/>
        <v>0</v>
      </c>
      <c r="M208" s="75" t="str">
        <f t="shared" si="2"/>
        <v>Min 1 Required (Stage &amp; Non-Stage)</v>
      </c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AC208" s="79" t="str">
        <f t="shared" si="3"/>
        <v/>
      </c>
    </row>
    <row r="209">
      <c r="A209" s="74">
        <v>386.0</v>
      </c>
      <c r="B209" s="74" t="s">
        <v>863</v>
      </c>
      <c r="C209" s="74">
        <v>3.0</v>
      </c>
      <c r="D209" s="74" t="s">
        <v>4</v>
      </c>
      <c r="E209" s="74" t="s">
        <v>450</v>
      </c>
      <c r="F209" s="74" t="s">
        <v>622</v>
      </c>
      <c r="G209" s="75">
        <f>SUMPRODUCT(COUNTIFS(PROGRAM_DIRECTORY!$A$2:$A$334, $N209:$AB209, PROGRAM_DIRECTORY!$D$2:$D$334, "Non-Stage", PROGRAM_DIRECTORY!$E$2:$E$334, "Individual"))</f>
        <v>0</v>
      </c>
      <c r="H209" s="75">
        <f>SUMPRODUCT(COUNTIFS(PROGRAM_DIRECTORY!$A$2:$A$334, $N209:$AB209, PROGRAM_DIRECTORY!$D$2:$D$334, "Stage", PROGRAM_DIRECTORY!$E$2:$E$334, "Individual"))</f>
        <v>0</v>
      </c>
      <c r="I209" s="75">
        <f>SUMPRODUCT(COUNTIFS(PROGRAM_DIRECTORY!$A$2:$A$334, $N209:$AB209, PROGRAM_DIRECTORY!$D$2:$D$334, "Sports"))</f>
        <v>0</v>
      </c>
      <c r="J209" s="75">
        <f>SUMPRODUCT(COUNTIFS(PROGRAM_DIRECTORY!$A$2:$A$334, $N209:$AB209, PROGRAM_DIRECTORY!$E$2:$E$334, "Individual"))</f>
        <v>0</v>
      </c>
      <c r="K209" s="75">
        <f>SUMPRODUCT(COUNTIFS(PROGRAM_DIRECTORY!$A$2:$A$334, $N209:$AB209, PROGRAM_DIRECTORY!$E$2:$E$334, "Group"))</f>
        <v>0</v>
      </c>
      <c r="L209" s="75">
        <f t="shared" si="1"/>
        <v>0</v>
      </c>
      <c r="M209" s="75" t="str">
        <f t="shared" si="2"/>
        <v>Min 1 Required (Stage &amp; Non-Stage)</v>
      </c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AC209" s="79" t="str">
        <f t="shared" si="3"/>
        <v/>
      </c>
    </row>
    <row r="210">
      <c r="A210" s="74">
        <v>328.0</v>
      </c>
      <c r="B210" s="74" t="s">
        <v>864</v>
      </c>
      <c r="C210" s="74">
        <v>3.0</v>
      </c>
      <c r="D210" s="74" t="s">
        <v>4</v>
      </c>
      <c r="E210" s="74" t="s">
        <v>195</v>
      </c>
      <c r="F210" s="74" t="s">
        <v>622</v>
      </c>
      <c r="G210" s="75">
        <f>SUMPRODUCT(COUNTIFS(PROGRAM_DIRECTORY!$A$2:$A$334, $N210:$AB210, PROGRAM_DIRECTORY!$D$2:$D$334, "Non-Stage", PROGRAM_DIRECTORY!$E$2:$E$334, "Individual"))</f>
        <v>0</v>
      </c>
      <c r="H210" s="75">
        <f>SUMPRODUCT(COUNTIFS(PROGRAM_DIRECTORY!$A$2:$A$334, $N210:$AB210, PROGRAM_DIRECTORY!$D$2:$D$334, "Stage", PROGRAM_DIRECTORY!$E$2:$E$334, "Individual"))</f>
        <v>0</v>
      </c>
      <c r="I210" s="75">
        <f>SUMPRODUCT(COUNTIFS(PROGRAM_DIRECTORY!$A$2:$A$334, $N210:$AB210, PROGRAM_DIRECTORY!$D$2:$D$334, "Sports"))</f>
        <v>0</v>
      </c>
      <c r="J210" s="75">
        <f>SUMPRODUCT(COUNTIFS(PROGRAM_DIRECTORY!$A$2:$A$334, $N210:$AB210, PROGRAM_DIRECTORY!$E$2:$E$334, "Individual"))</f>
        <v>0</v>
      </c>
      <c r="K210" s="75">
        <f>SUMPRODUCT(COUNTIFS(PROGRAM_DIRECTORY!$A$2:$A$334, $N210:$AB210, PROGRAM_DIRECTORY!$E$2:$E$334, "Group"))</f>
        <v>0</v>
      </c>
      <c r="L210" s="75">
        <f t="shared" si="1"/>
        <v>0</v>
      </c>
      <c r="M210" s="75" t="str">
        <f t="shared" si="2"/>
        <v>Min 1 Required (Stage &amp; Non-Stage)</v>
      </c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AC210" s="79" t="str">
        <f t="shared" si="3"/>
        <v/>
      </c>
    </row>
    <row r="211">
      <c r="A211" s="74">
        <v>309.0</v>
      </c>
      <c r="B211" s="74" t="s">
        <v>865</v>
      </c>
      <c r="C211" s="74">
        <v>3.0</v>
      </c>
      <c r="D211" s="74" t="s">
        <v>4</v>
      </c>
      <c r="E211" s="74" t="s">
        <v>331</v>
      </c>
      <c r="F211" s="74" t="s">
        <v>622</v>
      </c>
      <c r="G211" s="75">
        <f>SUMPRODUCT(COUNTIFS(PROGRAM_DIRECTORY!$A$2:$A$334, $N211:$AB211, PROGRAM_DIRECTORY!$D$2:$D$334, "Non-Stage", PROGRAM_DIRECTORY!$E$2:$E$334, "Individual"))</f>
        <v>0</v>
      </c>
      <c r="H211" s="75">
        <f>SUMPRODUCT(COUNTIFS(PROGRAM_DIRECTORY!$A$2:$A$334, $N211:$AB211, PROGRAM_DIRECTORY!$D$2:$D$334, "Stage", PROGRAM_DIRECTORY!$E$2:$E$334, "Individual"))</f>
        <v>0</v>
      </c>
      <c r="I211" s="75">
        <f>SUMPRODUCT(COUNTIFS(PROGRAM_DIRECTORY!$A$2:$A$334, $N211:$AB211, PROGRAM_DIRECTORY!$D$2:$D$334, "Sports"))</f>
        <v>0</v>
      </c>
      <c r="J211" s="75">
        <f>SUMPRODUCT(COUNTIFS(PROGRAM_DIRECTORY!$A$2:$A$334, $N211:$AB211, PROGRAM_DIRECTORY!$E$2:$E$334, "Individual"))</f>
        <v>0</v>
      </c>
      <c r="K211" s="75">
        <f>SUMPRODUCT(COUNTIFS(PROGRAM_DIRECTORY!$A$2:$A$334, $N211:$AB211, PROGRAM_DIRECTORY!$E$2:$E$334, "Group"))</f>
        <v>0</v>
      </c>
      <c r="L211" s="75">
        <f t="shared" si="1"/>
        <v>0</v>
      </c>
      <c r="M211" s="75" t="str">
        <f t="shared" si="2"/>
        <v>Min 1 Required (Stage &amp; Non-Stage)</v>
      </c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AC211" s="79" t="str">
        <f t="shared" si="3"/>
        <v/>
      </c>
    </row>
    <row r="212">
      <c r="A212" s="74">
        <v>370.0</v>
      </c>
      <c r="B212" s="74" t="s">
        <v>866</v>
      </c>
      <c r="C212" s="74">
        <v>3.0</v>
      </c>
      <c r="D212" s="74" t="s">
        <v>4</v>
      </c>
      <c r="E212" s="74" t="s">
        <v>380</v>
      </c>
      <c r="F212" s="74" t="s">
        <v>622</v>
      </c>
      <c r="G212" s="75">
        <f>SUMPRODUCT(COUNTIFS(PROGRAM_DIRECTORY!$A$2:$A$334, $N212:$AB212, PROGRAM_DIRECTORY!$D$2:$D$334, "Non-Stage", PROGRAM_DIRECTORY!$E$2:$E$334, "Individual"))</f>
        <v>0</v>
      </c>
      <c r="H212" s="75">
        <f>SUMPRODUCT(COUNTIFS(PROGRAM_DIRECTORY!$A$2:$A$334, $N212:$AB212, PROGRAM_DIRECTORY!$D$2:$D$334, "Stage", PROGRAM_DIRECTORY!$E$2:$E$334, "Individual"))</f>
        <v>0</v>
      </c>
      <c r="I212" s="75">
        <f>SUMPRODUCT(COUNTIFS(PROGRAM_DIRECTORY!$A$2:$A$334, $N212:$AB212, PROGRAM_DIRECTORY!$D$2:$D$334, "Sports"))</f>
        <v>0</v>
      </c>
      <c r="J212" s="75">
        <f>SUMPRODUCT(COUNTIFS(PROGRAM_DIRECTORY!$A$2:$A$334, $N212:$AB212, PROGRAM_DIRECTORY!$E$2:$E$334, "Individual"))</f>
        <v>0</v>
      </c>
      <c r="K212" s="75">
        <f>SUMPRODUCT(COUNTIFS(PROGRAM_DIRECTORY!$A$2:$A$334, $N212:$AB212, PROGRAM_DIRECTORY!$E$2:$E$334, "Group"))</f>
        <v>0</v>
      </c>
      <c r="L212" s="75">
        <f t="shared" si="1"/>
        <v>0</v>
      </c>
      <c r="M212" s="75" t="str">
        <f t="shared" si="2"/>
        <v>Min 1 Required (Stage &amp; Non-Stage)</v>
      </c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AC212" s="79" t="str">
        <f t="shared" si="3"/>
        <v/>
      </c>
    </row>
    <row r="213">
      <c r="A213" s="74">
        <v>382.0</v>
      </c>
      <c r="B213" s="74" t="s">
        <v>867</v>
      </c>
      <c r="C213" s="74">
        <v>3.0</v>
      </c>
      <c r="D213" s="74" t="s">
        <v>4</v>
      </c>
      <c r="E213" s="74" t="s">
        <v>380</v>
      </c>
      <c r="F213" s="74" t="s">
        <v>622</v>
      </c>
      <c r="G213" s="75">
        <f>SUMPRODUCT(COUNTIFS(PROGRAM_DIRECTORY!$A$2:$A$334, $N213:$AB213, PROGRAM_DIRECTORY!$D$2:$D$334, "Non-Stage", PROGRAM_DIRECTORY!$E$2:$E$334, "Individual"))</f>
        <v>0</v>
      </c>
      <c r="H213" s="75">
        <f>SUMPRODUCT(COUNTIFS(PROGRAM_DIRECTORY!$A$2:$A$334, $N213:$AB213, PROGRAM_DIRECTORY!$D$2:$D$334, "Stage", PROGRAM_DIRECTORY!$E$2:$E$334, "Individual"))</f>
        <v>0</v>
      </c>
      <c r="I213" s="75">
        <f>SUMPRODUCT(COUNTIFS(PROGRAM_DIRECTORY!$A$2:$A$334, $N213:$AB213, PROGRAM_DIRECTORY!$D$2:$D$334, "Sports"))</f>
        <v>0</v>
      </c>
      <c r="J213" s="75">
        <f>SUMPRODUCT(COUNTIFS(PROGRAM_DIRECTORY!$A$2:$A$334, $N213:$AB213, PROGRAM_DIRECTORY!$E$2:$E$334, "Individual"))</f>
        <v>0</v>
      </c>
      <c r="K213" s="75">
        <f>SUMPRODUCT(COUNTIFS(PROGRAM_DIRECTORY!$A$2:$A$334, $N213:$AB213, PROGRAM_DIRECTORY!$E$2:$E$334, "Group"))</f>
        <v>0</v>
      </c>
      <c r="L213" s="75">
        <f t="shared" si="1"/>
        <v>0</v>
      </c>
      <c r="M213" s="75" t="str">
        <f t="shared" si="2"/>
        <v>Min 1 Required (Stage &amp; Non-Stage)</v>
      </c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AC213" s="79" t="str">
        <f t="shared" si="3"/>
        <v/>
      </c>
    </row>
    <row r="214">
      <c r="A214" s="74">
        <v>374.0</v>
      </c>
      <c r="B214" s="74" t="s">
        <v>868</v>
      </c>
      <c r="C214" s="74">
        <v>3.0</v>
      </c>
      <c r="D214" s="74" t="s">
        <v>4</v>
      </c>
      <c r="E214" s="74" t="s">
        <v>380</v>
      </c>
      <c r="F214" s="74" t="s">
        <v>622</v>
      </c>
      <c r="G214" s="75">
        <f>SUMPRODUCT(COUNTIFS(PROGRAM_DIRECTORY!$A$2:$A$334, $N214:$AB214, PROGRAM_DIRECTORY!$D$2:$D$334, "Non-Stage", PROGRAM_DIRECTORY!$E$2:$E$334, "Individual"))</f>
        <v>0</v>
      </c>
      <c r="H214" s="75">
        <f>SUMPRODUCT(COUNTIFS(PROGRAM_DIRECTORY!$A$2:$A$334, $N214:$AB214, PROGRAM_DIRECTORY!$D$2:$D$334, "Stage", PROGRAM_DIRECTORY!$E$2:$E$334, "Individual"))</f>
        <v>0</v>
      </c>
      <c r="I214" s="75">
        <f>SUMPRODUCT(COUNTIFS(PROGRAM_DIRECTORY!$A$2:$A$334, $N214:$AB214, PROGRAM_DIRECTORY!$D$2:$D$334, "Sports"))</f>
        <v>0</v>
      </c>
      <c r="J214" s="75">
        <f>SUMPRODUCT(COUNTIFS(PROGRAM_DIRECTORY!$A$2:$A$334, $N214:$AB214, PROGRAM_DIRECTORY!$E$2:$E$334, "Individual"))</f>
        <v>0</v>
      </c>
      <c r="K214" s="75">
        <f>SUMPRODUCT(COUNTIFS(PROGRAM_DIRECTORY!$A$2:$A$334, $N214:$AB214, PROGRAM_DIRECTORY!$E$2:$E$334, "Group"))</f>
        <v>0</v>
      </c>
      <c r="L214" s="75">
        <f t="shared" si="1"/>
        <v>0</v>
      </c>
      <c r="M214" s="75" t="str">
        <f t="shared" si="2"/>
        <v>Min 1 Required (Stage &amp; Non-Stage)</v>
      </c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AC214" s="79" t="str">
        <f t="shared" si="3"/>
        <v/>
      </c>
    </row>
    <row r="215">
      <c r="A215" s="74">
        <v>368.0</v>
      </c>
      <c r="B215" s="74" t="s">
        <v>869</v>
      </c>
      <c r="C215" s="74">
        <v>3.0</v>
      </c>
      <c r="D215" s="74" t="s">
        <v>4</v>
      </c>
      <c r="E215" s="74" t="s">
        <v>195</v>
      </c>
      <c r="F215" s="74" t="s">
        <v>622</v>
      </c>
      <c r="G215" s="75">
        <f>SUMPRODUCT(COUNTIFS(PROGRAM_DIRECTORY!$A$2:$A$334, $N215:$AB215, PROGRAM_DIRECTORY!$D$2:$D$334, "Non-Stage", PROGRAM_DIRECTORY!$E$2:$E$334, "Individual"))</f>
        <v>0</v>
      </c>
      <c r="H215" s="75">
        <f>SUMPRODUCT(COUNTIFS(PROGRAM_DIRECTORY!$A$2:$A$334, $N215:$AB215, PROGRAM_DIRECTORY!$D$2:$D$334, "Stage", PROGRAM_DIRECTORY!$E$2:$E$334, "Individual"))</f>
        <v>0</v>
      </c>
      <c r="I215" s="75">
        <f>SUMPRODUCT(COUNTIFS(PROGRAM_DIRECTORY!$A$2:$A$334, $N215:$AB215, PROGRAM_DIRECTORY!$D$2:$D$334, "Sports"))</f>
        <v>0</v>
      </c>
      <c r="J215" s="75">
        <f>SUMPRODUCT(COUNTIFS(PROGRAM_DIRECTORY!$A$2:$A$334, $N215:$AB215, PROGRAM_DIRECTORY!$E$2:$E$334, "Individual"))</f>
        <v>0</v>
      </c>
      <c r="K215" s="75">
        <f>SUMPRODUCT(COUNTIFS(PROGRAM_DIRECTORY!$A$2:$A$334, $N215:$AB215, PROGRAM_DIRECTORY!$E$2:$E$334, "Group"))</f>
        <v>0</v>
      </c>
      <c r="L215" s="75">
        <f t="shared" si="1"/>
        <v>0</v>
      </c>
      <c r="M215" s="75" t="str">
        <f t="shared" si="2"/>
        <v>Min 1 Required (Stage &amp; Non-Stage)</v>
      </c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AC215" s="79" t="str">
        <f t="shared" si="3"/>
        <v/>
      </c>
    </row>
    <row r="216">
      <c r="A216" s="74">
        <v>329.0</v>
      </c>
      <c r="B216" s="74" t="s">
        <v>870</v>
      </c>
      <c r="C216" s="74">
        <v>3.0</v>
      </c>
      <c r="D216" s="74" t="s">
        <v>4</v>
      </c>
      <c r="E216" s="74" t="s">
        <v>331</v>
      </c>
      <c r="F216" s="74" t="s">
        <v>622</v>
      </c>
      <c r="G216" s="75">
        <f>SUMPRODUCT(COUNTIFS(PROGRAM_DIRECTORY!$A$2:$A$334, $N216:$AB216, PROGRAM_DIRECTORY!$D$2:$D$334, "Non-Stage", PROGRAM_DIRECTORY!$E$2:$E$334, "Individual"))</f>
        <v>0</v>
      </c>
      <c r="H216" s="75">
        <f>SUMPRODUCT(COUNTIFS(PROGRAM_DIRECTORY!$A$2:$A$334, $N216:$AB216, PROGRAM_DIRECTORY!$D$2:$D$334, "Stage", PROGRAM_DIRECTORY!$E$2:$E$334, "Individual"))</f>
        <v>0</v>
      </c>
      <c r="I216" s="75">
        <f>SUMPRODUCT(COUNTIFS(PROGRAM_DIRECTORY!$A$2:$A$334, $N216:$AB216, PROGRAM_DIRECTORY!$D$2:$D$334, "Sports"))</f>
        <v>0</v>
      </c>
      <c r="J216" s="75">
        <f>SUMPRODUCT(COUNTIFS(PROGRAM_DIRECTORY!$A$2:$A$334, $N216:$AB216, PROGRAM_DIRECTORY!$E$2:$E$334, "Individual"))</f>
        <v>0</v>
      </c>
      <c r="K216" s="75">
        <f>SUMPRODUCT(COUNTIFS(PROGRAM_DIRECTORY!$A$2:$A$334, $N216:$AB216, PROGRAM_DIRECTORY!$E$2:$E$334, "Group"))</f>
        <v>0</v>
      </c>
      <c r="L216" s="75">
        <f t="shared" si="1"/>
        <v>0</v>
      </c>
      <c r="M216" s="75" t="str">
        <f t="shared" si="2"/>
        <v>Min 1 Required (Stage &amp; Non-Stage)</v>
      </c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AC216" s="79" t="str">
        <f t="shared" si="3"/>
        <v/>
      </c>
    </row>
    <row r="217">
      <c r="A217" s="74">
        <v>361.0</v>
      </c>
      <c r="B217" s="74" t="s">
        <v>871</v>
      </c>
      <c r="C217" s="74">
        <v>3.0</v>
      </c>
      <c r="D217" s="74" t="s">
        <v>4</v>
      </c>
      <c r="E217" s="74" t="s">
        <v>450</v>
      </c>
      <c r="F217" s="74" t="s">
        <v>622</v>
      </c>
      <c r="G217" s="75">
        <f>SUMPRODUCT(COUNTIFS(PROGRAM_DIRECTORY!$A$2:$A$334, $N217:$AB217, PROGRAM_DIRECTORY!$D$2:$D$334, "Non-Stage", PROGRAM_DIRECTORY!$E$2:$E$334, "Individual"))</f>
        <v>0</v>
      </c>
      <c r="H217" s="75">
        <f>SUMPRODUCT(COUNTIFS(PROGRAM_DIRECTORY!$A$2:$A$334, $N217:$AB217, PROGRAM_DIRECTORY!$D$2:$D$334, "Stage", PROGRAM_DIRECTORY!$E$2:$E$334, "Individual"))</f>
        <v>0</v>
      </c>
      <c r="I217" s="75">
        <f>SUMPRODUCT(COUNTIFS(PROGRAM_DIRECTORY!$A$2:$A$334, $N217:$AB217, PROGRAM_DIRECTORY!$D$2:$D$334, "Sports"))</f>
        <v>0</v>
      </c>
      <c r="J217" s="75">
        <f>SUMPRODUCT(COUNTIFS(PROGRAM_DIRECTORY!$A$2:$A$334, $N217:$AB217, PROGRAM_DIRECTORY!$E$2:$E$334, "Individual"))</f>
        <v>0</v>
      </c>
      <c r="K217" s="75">
        <f>SUMPRODUCT(COUNTIFS(PROGRAM_DIRECTORY!$A$2:$A$334, $N217:$AB217, PROGRAM_DIRECTORY!$E$2:$E$334, "Group"))</f>
        <v>0</v>
      </c>
      <c r="L217" s="75">
        <f t="shared" si="1"/>
        <v>0</v>
      </c>
      <c r="M217" s="75" t="str">
        <f t="shared" si="2"/>
        <v>Min 1 Required (Stage &amp; Non-Stage)</v>
      </c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AC217" s="79" t="str">
        <f t="shared" si="3"/>
        <v/>
      </c>
    </row>
    <row r="218">
      <c r="A218" s="74">
        <v>383.0</v>
      </c>
      <c r="B218" s="74" t="s">
        <v>872</v>
      </c>
      <c r="C218" s="74">
        <v>3.0</v>
      </c>
      <c r="D218" s="74" t="s">
        <v>4</v>
      </c>
      <c r="E218" s="74" t="s">
        <v>450</v>
      </c>
      <c r="F218" s="74" t="s">
        <v>622</v>
      </c>
      <c r="G218" s="75">
        <f>SUMPRODUCT(COUNTIFS(PROGRAM_DIRECTORY!$A$2:$A$334, $N218:$AB218, PROGRAM_DIRECTORY!$D$2:$D$334, "Non-Stage", PROGRAM_DIRECTORY!$E$2:$E$334, "Individual"))</f>
        <v>0</v>
      </c>
      <c r="H218" s="75">
        <f>SUMPRODUCT(COUNTIFS(PROGRAM_DIRECTORY!$A$2:$A$334, $N218:$AB218, PROGRAM_DIRECTORY!$D$2:$D$334, "Stage", PROGRAM_DIRECTORY!$E$2:$E$334, "Individual"))</f>
        <v>0</v>
      </c>
      <c r="I218" s="75">
        <f>SUMPRODUCT(COUNTIFS(PROGRAM_DIRECTORY!$A$2:$A$334, $N218:$AB218, PROGRAM_DIRECTORY!$D$2:$D$334, "Sports"))</f>
        <v>0</v>
      </c>
      <c r="J218" s="75">
        <f>SUMPRODUCT(COUNTIFS(PROGRAM_DIRECTORY!$A$2:$A$334, $N218:$AB218, PROGRAM_DIRECTORY!$E$2:$E$334, "Individual"))</f>
        <v>0</v>
      </c>
      <c r="K218" s="75">
        <f>SUMPRODUCT(COUNTIFS(PROGRAM_DIRECTORY!$A$2:$A$334, $N218:$AB218, PROGRAM_DIRECTORY!$E$2:$E$334, "Group"))</f>
        <v>0</v>
      </c>
      <c r="L218" s="75">
        <f t="shared" si="1"/>
        <v>0</v>
      </c>
      <c r="M218" s="75" t="str">
        <f t="shared" si="2"/>
        <v>Min 1 Required (Stage &amp; Non-Stage)</v>
      </c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AC218" s="79" t="str">
        <f t="shared" si="3"/>
        <v/>
      </c>
    </row>
    <row r="219">
      <c r="A219" s="74">
        <v>364.0</v>
      </c>
      <c r="B219" s="74" t="s">
        <v>873</v>
      </c>
      <c r="C219" s="74">
        <v>3.0</v>
      </c>
      <c r="D219" s="74" t="s">
        <v>4</v>
      </c>
      <c r="E219" s="74" t="s">
        <v>331</v>
      </c>
      <c r="F219" s="74" t="s">
        <v>622</v>
      </c>
      <c r="G219" s="75">
        <f>SUMPRODUCT(COUNTIFS(PROGRAM_DIRECTORY!$A$2:$A$334, $N219:$AB219, PROGRAM_DIRECTORY!$D$2:$D$334, "Non-Stage", PROGRAM_DIRECTORY!$E$2:$E$334, "Individual"))</f>
        <v>0</v>
      </c>
      <c r="H219" s="75">
        <f>SUMPRODUCT(COUNTIFS(PROGRAM_DIRECTORY!$A$2:$A$334, $N219:$AB219, PROGRAM_DIRECTORY!$D$2:$D$334, "Stage", PROGRAM_DIRECTORY!$E$2:$E$334, "Individual"))</f>
        <v>0</v>
      </c>
      <c r="I219" s="75">
        <f>SUMPRODUCT(COUNTIFS(PROGRAM_DIRECTORY!$A$2:$A$334, $N219:$AB219, PROGRAM_DIRECTORY!$D$2:$D$334, "Sports"))</f>
        <v>0</v>
      </c>
      <c r="J219" s="75">
        <f>SUMPRODUCT(COUNTIFS(PROGRAM_DIRECTORY!$A$2:$A$334, $N219:$AB219, PROGRAM_DIRECTORY!$E$2:$E$334, "Individual"))</f>
        <v>0</v>
      </c>
      <c r="K219" s="75">
        <f>SUMPRODUCT(COUNTIFS(PROGRAM_DIRECTORY!$A$2:$A$334, $N219:$AB219, PROGRAM_DIRECTORY!$E$2:$E$334, "Group"))</f>
        <v>0</v>
      </c>
      <c r="L219" s="75">
        <f t="shared" si="1"/>
        <v>0</v>
      </c>
      <c r="M219" s="75" t="str">
        <f t="shared" si="2"/>
        <v>Min 1 Required (Stage &amp; Non-Stage)</v>
      </c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AC219" s="79" t="str">
        <f t="shared" si="3"/>
        <v/>
      </c>
    </row>
    <row r="220">
      <c r="A220" s="74">
        <v>358.0</v>
      </c>
      <c r="B220" s="74" t="s">
        <v>874</v>
      </c>
      <c r="C220" s="74">
        <v>3.0</v>
      </c>
      <c r="D220" s="74" t="s">
        <v>4</v>
      </c>
      <c r="E220" s="74" t="s">
        <v>450</v>
      </c>
      <c r="F220" s="74" t="s">
        <v>622</v>
      </c>
      <c r="G220" s="75">
        <f>SUMPRODUCT(COUNTIFS(PROGRAM_DIRECTORY!$A$2:$A$334, $N220:$AB220, PROGRAM_DIRECTORY!$D$2:$D$334, "Non-Stage", PROGRAM_DIRECTORY!$E$2:$E$334, "Individual"))</f>
        <v>0</v>
      </c>
      <c r="H220" s="75">
        <f>SUMPRODUCT(COUNTIFS(PROGRAM_DIRECTORY!$A$2:$A$334, $N220:$AB220, PROGRAM_DIRECTORY!$D$2:$D$334, "Stage", PROGRAM_DIRECTORY!$E$2:$E$334, "Individual"))</f>
        <v>0</v>
      </c>
      <c r="I220" s="75">
        <f>SUMPRODUCT(COUNTIFS(PROGRAM_DIRECTORY!$A$2:$A$334, $N220:$AB220, PROGRAM_DIRECTORY!$D$2:$D$334, "Sports"))</f>
        <v>0</v>
      </c>
      <c r="J220" s="75">
        <f>SUMPRODUCT(COUNTIFS(PROGRAM_DIRECTORY!$A$2:$A$334, $N220:$AB220, PROGRAM_DIRECTORY!$E$2:$E$334, "Individual"))</f>
        <v>0</v>
      </c>
      <c r="K220" s="75">
        <f>SUMPRODUCT(COUNTIFS(PROGRAM_DIRECTORY!$A$2:$A$334, $N220:$AB220, PROGRAM_DIRECTORY!$E$2:$E$334, "Group"))</f>
        <v>0</v>
      </c>
      <c r="L220" s="75">
        <f t="shared" si="1"/>
        <v>0</v>
      </c>
      <c r="M220" s="75" t="str">
        <f t="shared" si="2"/>
        <v>Min 1 Required (Stage &amp; Non-Stage)</v>
      </c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AC220" s="79" t="str">
        <f t="shared" si="3"/>
        <v/>
      </c>
    </row>
    <row r="221">
      <c r="A221" s="74">
        <v>373.0</v>
      </c>
      <c r="B221" s="74" t="s">
        <v>875</v>
      </c>
      <c r="C221" s="74">
        <v>3.0</v>
      </c>
      <c r="D221" s="74" t="s">
        <v>4</v>
      </c>
      <c r="E221" s="74" t="s">
        <v>331</v>
      </c>
      <c r="F221" s="74" t="s">
        <v>622</v>
      </c>
      <c r="G221" s="75">
        <f>SUMPRODUCT(COUNTIFS(PROGRAM_DIRECTORY!$A$2:$A$334, $N221:$AB221, PROGRAM_DIRECTORY!$D$2:$D$334, "Non-Stage", PROGRAM_DIRECTORY!$E$2:$E$334, "Individual"))</f>
        <v>0</v>
      </c>
      <c r="H221" s="75">
        <f>SUMPRODUCT(COUNTIFS(PROGRAM_DIRECTORY!$A$2:$A$334, $N221:$AB221, PROGRAM_DIRECTORY!$D$2:$D$334, "Stage", PROGRAM_DIRECTORY!$E$2:$E$334, "Individual"))</f>
        <v>0</v>
      </c>
      <c r="I221" s="75">
        <f>SUMPRODUCT(COUNTIFS(PROGRAM_DIRECTORY!$A$2:$A$334, $N221:$AB221, PROGRAM_DIRECTORY!$D$2:$D$334, "Sports"))</f>
        <v>0</v>
      </c>
      <c r="J221" s="75">
        <f>SUMPRODUCT(COUNTIFS(PROGRAM_DIRECTORY!$A$2:$A$334, $N221:$AB221, PROGRAM_DIRECTORY!$E$2:$E$334, "Individual"))</f>
        <v>0</v>
      </c>
      <c r="K221" s="75">
        <f>SUMPRODUCT(COUNTIFS(PROGRAM_DIRECTORY!$A$2:$A$334, $N221:$AB221, PROGRAM_DIRECTORY!$E$2:$E$334, "Group"))</f>
        <v>0</v>
      </c>
      <c r="L221" s="75">
        <f t="shared" si="1"/>
        <v>0</v>
      </c>
      <c r="M221" s="75" t="str">
        <f t="shared" si="2"/>
        <v>Min 1 Required (Stage &amp; Non-Stage)</v>
      </c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AC221" s="79" t="str">
        <f t="shared" si="3"/>
        <v/>
      </c>
    </row>
    <row r="222">
      <c r="A222" s="74">
        <v>337.0</v>
      </c>
      <c r="B222" s="74" t="s">
        <v>876</v>
      </c>
      <c r="C222" s="74">
        <v>3.0</v>
      </c>
      <c r="D222" s="74" t="s">
        <v>4</v>
      </c>
      <c r="E222" s="74" t="s">
        <v>380</v>
      </c>
      <c r="F222" s="74" t="s">
        <v>622</v>
      </c>
      <c r="G222" s="75">
        <f>SUMPRODUCT(COUNTIFS(PROGRAM_DIRECTORY!$A$2:$A$334, $N222:$AB222, PROGRAM_DIRECTORY!$D$2:$D$334, "Non-Stage", PROGRAM_DIRECTORY!$E$2:$E$334, "Individual"))</f>
        <v>0</v>
      </c>
      <c r="H222" s="75">
        <f>SUMPRODUCT(COUNTIFS(PROGRAM_DIRECTORY!$A$2:$A$334, $N222:$AB222, PROGRAM_DIRECTORY!$D$2:$D$334, "Stage", PROGRAM_DIRECTORY!$E$2:$E$334, "Individual"))</f>
        <v>0</v>
      </c>
      <c r="I222" s="75">
        <f>SUMPRODUCT(COUNTIFS(PROGRAM_DIRECTORY!$A$2:$A$334, $N222:$AB222, PROGRAM_DIRECTORY!$D$2:$D$334, "Sports"))</f>
        <v>0</v>
      </c>
      <c r="J222" s="75">
        <f>SUMPRODUCT(COUNTIFS(PROGRAM_DIRECTORY!$A$2:$A$334, $N222:$AB222, PROGRAM_DIRECTORY!$E$2:$E$334, "Individual"))</f>
        <v>0</v>
      </c>
      <c r="K222" s="75">
        <f>SUMPRODUCT(COUNTIFS(PROGRAM_DIRECTORY!$A$2:$A$334, $N222:$AB222, PROGRAM_DIRECTORY!$E$2:$E$334, "Group"))</f>
        <v>0</v>
      </c>
      <c r="L222" s="75">
        <f t="shared" si="1"/>
        <v>0</v>
      </c>
      <c r="M222" s="75" t="str">
        <f t="shared" si="2"/>
        <v>Min 1 Required (Stage &amp; Non-Stage)</v>
      </c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AC222" s="79" t="str">
        <f t="shared" si="3"/>
        <v/>
      </c>
    </row>
    <row r="223">
      <c r="A223" s="74">
        <v>332.0</v>
      </c>
      <c r="B223" s="74" t="s">
        <v>877</v>
      </c>
      <c r="C223" s="74">
        <v>3.0</v>
      </c>
      <c r="D223" s="74" t="s">
        <v>4</v>
      </c>
      <c r="E223" s="74" t="s">
        <v>195</v>
      </c>
      <c r="F223" s="74" t="s">
        <v>622</v>
      </c>
      <c r="G223" s="75">
        <f>SUMPRODUCT(COUNTIFS(PROGRAM_DIRECTORY!$A$2:$A$334, $N223:$AB223, PROGRAM_DIRECTORY!$D$2:$D$334, "Non-Stage", PROGRAM_DIRECTORY!$E$2:$E$334, "Individual"))</f>
        <v>0</v>
      </c>
      <c r="H223" s="75">
        <f>SUMPRODUCT(COUNTIFS(PROGRAM_DIRECTORY!$A$2:$A$334, $N223:$AB223, PROGRAM_DIRECTORY!$D$2:$D$334, "Stage", PROGRAM_DIRECTORY!$E$2:$E$334, "Individual"))</f>
        <v>0</v>
      </c>
      <c r="I223" s="75">
        <f>SUMPRODUCT(COUNTIFS(PROGRAM_DIRECTORY!$A$2:$A$334, $N223:$AB223, PROGRAM_DIRECTORY!$D$2:$D$334, "Sports"))</f>
        <v>0</v>
      </c>
      <c r="J223" s="75">
        <f>SUMPRODUCT(COUNTIFS(PROGRAM_DIRECTORY!$A$2:$A$334, $N223:$AB223, PROGRAM_DIRECTORY!$E$2:$E$334, "Individual"))</f>
        <v>0</v>
      </c>
      <c r="K223" s="75">
        <f>SUMPRODUCT(COUNTIFS(PROGRAM_DIRECTORY!$A$2:$A$334, $N223:$AB223, PROGRAM_DIRECTORY!$E$2:$E$334, "Group"))</f>
        <v>0</v>
      </c>
      <c r="L223" s="75">
        <f t="shared" si="1"/>
        <v>0</v>
      </c>
      <c r="M223" s="75" t="str">
        <f t="shared" si="2"/>
        <v>Min 1 Required (Stage &amp; Non-Stage)</v>
      </c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AC223" s="79" t="str">
        <f t="shared" si="3"/>
        <v/>
      </c>
    </row>
    <row r="224">
      <c r="A224" s="74">
        <v>381.0</v>
      </c>
      <c r="B224" s="74" t="s">
        <v>878</v>
      </c>
      <c r="C224" s="74">
        <v>3.0</v>
      </c>
      <c r="D224" s="74" t="s">
        <v>4</v>
      </c>
      <c r="E224" s="74" t="s">
        <v>450</v>
      </c>
      <c r="F224" s="74" t="s">
        <v>622</v>
      </c>
      <c r="G224" s="75">
        <f>SUMPRODUCT(COUNTIFS(PROGRAM_DIRECTORY!$A$2:$A$334, $N224:$AB224, PROGRAM_DIRECTORY!$D$2:$D$334, "Non-Stage", PROGRAM_DIRECTORY!$E$2:$E$334, "Individual"))</f>
        <v>0</v>
      </c>
      <c r="H224" s="75">
        <f>SUMPRODUCT(COUNTIFS(PROGRAM_DIRECTORY!$A$2:$A$334, $N224:$AB224, PROGRAM_DIRECTORY!$D$2:$D$334, "Stage", PROGRAM_DIRECTORY!$E$2:$E$334, "Individual"))</f>
        <v>0</v>
      </c>
      <c r="I224" s="75">
        <f>SUMPRODUCT(COUNTIFS(PROGRAM_DIRECTORY!$A$2:$A$334, $N224:$AB224, PROGRAM_DIRECTORY!$D$2:$D$334, "Sports"))</f>
        <v>0</v>
      </c>
      <c r="J224" s="75">
        <f>SUMPRODUCT(COUNTIFS(PROGRAM_DIRECTORY!$A$2:$A$334, $N224:$AB224, PROGRAM_DIRECTORY!$E$2:$E$334, "Individual"))</f>
        <v>0</v>
      </c>
      <c r="K224" s="75">
        <f>SUMPRODUCT(COUNTIFS(PROGRAM_DIRECTORY!$A$2:$A$334, $N224:$AB224, PROGRAM_DIRECTORY!$E$2:$E$334, "Group"))</f>
        <v>0</v>
      </c>
      <c r="L224" s="75">
        <f t="shared" si="1"/>
        <v>0</v>
      </c>
      <c r="M224" s="75" t="str">
        <f t="shared" si="2"/>
        <v>Min 1 Required (Stage &amp; Non-Stage)</v>
      </c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AC224" s="79" t="str">
        <f t="shared" si="3"/>
        <v/>
      </c>
    </row>
    <row r="225">
      <c r="A225" s="74">
        <v>366.0</v>
      </c>
      <c r="B225" s="74" t="s">
        <v>879</v>
      </c>
      <c r="C225" s="74">
        <v>3.0</v>
      </c>
      <c r="D225" s="74" t="s">
        <v>4</v>
      </c>
      <c r="E225" s="74" t="s">
        <v>380</v>
      </c>
      <c r="F225" s="74" t="s">
        <v>622</v>
      </c>
      <c r="G225" s="75">
        <f>SUMPRODUCT(COUNTIFS(PROGRAM_DIRECTORY!$A$2:$A$334, $N225:$AB225, PROGRAM_DIRECTORY!$D$2:$D$334, "Non-Stage", PROGRAM_DIRECTORY!$E$2:$E$334, "Individual"))</f>
        <v>0</v>
      </c>
      <c r="H225" s="75">
        <f>SUMPRODUCT(COUNTIFS(PROGRAM_DIRECTORY!$A$2:$A$334, $N225:$AB225, PROGRAM_DIRECTORY!$D$2:$D$334, "Stage", PROGRAM_DIRECTORY!$E$2:$E$334, "Individual"))</f>
        <v>0</v>
      </c>
      <c r="I225" s="75">
        <f>SUMPRODUCT(COUNTIFS(PROGRAM_DIRECTORY!$A$2:$A$334, $N225:$AB225, PROGRAM_DIRECTORY!$D$2:$D$334, "Sports"))</f>
        <v>0</v>
      </c>
      <c r="J225" s="75">
        <f>SUMPRODUCT(COUNTIFS(PROGRAM_DIRECTORY!$A$2:$A$334, $N225:$AB225, PROGRAM_DIRECTORY!$E$2:$E$334, "Individual"))</f>
        <v>0</v>
      </c>
      <c r="K225" s="75">
        <f>SUMPRODUCT(COUNTIFS(PROGRAM_DIRECTORY!$A$2:$A$334, $N225:$AB225, PROGRAM_DIRECTORY!$E$2:$E$334, "Group"))</f>
        <v>0</v>
      </c>
      <c r="L225" s="75">
        <f t="shared" si="1"/>
        <v>0</v>
      </c>
      <c r="M225" s="75" t="str">
        <f t="shared" si="2"/>
        <v>Min 1 Required (Stage &amp; Non-Stage)</v>
      </c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AC225" s="79" t="str">
        <f t="shared" si="3"/>
        <v/>
      </c>
    </row>
    <row r="226">
      <c r="A226" s="74">
        <v>380.0</v>
      </c>
      <c r="B226" s="74" t="s">
        <v>880</v>
      </c>
      <c r="C226" s="74">
        <v>3.0</v>
      </c>
      <c r="D226" s="74" t="s">
        <v>4</v>
      </c>
      <c r="E226" s="74" t="s">
        <v>380</v>
      </c>
      <c r="F226" s="74" t="s">
        <v>622</v>
      </c>
      <c r="G226" s="75">
        <f>SUMPRODUCT(COUNTIFS(PROGRAM_DIRECTORY!$A$2:$A$334, $N226:$AB226, PROGRAM_DIRECTORY!$D$2:$D$334, "Non-Stage", PROGRAM_DIRECTORY!$E$2:$E$334, "Individual"))</f>
        <v>0</v>
      </c>
      <c r="H226" s="75">
        <f>SUMPRODUCT(COUNTIFS(PROGRAM_DIRECTORY!$A$2:$A$334, $N226:$AB226, PROGRAM_DIRECTORY!$D$2:$D$334, "Stage", PROGRAM_DIRECTORY!$E$2:$E$334, "Individual"))</f>
        <v>0</v>
      </c>
      <c r="I226" s="75">
        <f>SUMPRODUCT(COUNTIFS(PROGRAM_DIRECTORY!$A$2:$A$334, $N226:$AB226, PROGRAM_DIRECTORY!$D$2:$D$334, "Sports"))</f>
        <v>0</v>
      </c>
      <c r="J226" s="75">
        <f>SUMPRODUCT(COUNTIFS(PROGRAM_DIRECTORY!$A$2:$A$334, $N226:$AB226, PROGRAM_DIRECTORY!$E$2:$E$334, "Individual"))</f>
        <v>0</v>
      </c>
      <c r="K226" s="75">
        <f>SUMPRODUCT(COUNTIFS(PROGRAM_DIRECTORY!$A$2:$A$334, $N226:$AB226, PROGRAM_DIRECTORY!$E$2:$E$334, "Group"))</f>
        <v>0</v>
      </c>
      <c r="L226" s="75">
        <f t="shared" si="1"/>
        <v>0</v>
      </c>
      <c r="M226" s="75" t="str">
        <f t="shared" si="2"/>
        <v>Min 1 Required (Stage &amp; Non-Stage)</v>
      </c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AC226" s="79" t="str">
        <f t="shared" si="3"/>
        <v/>
      </c>
    </row>
    <row r="227">
      <c r="A227" s="74">
        <v>384.0</v>
      </c>
      <c r="B227" s="74" t="s">
        <v>881</v>
      </c>
      <c r="C227" s="74">
        <v>3.0</v>
      </c>
      <c r="D227" s="74" t="s">
        <v>4</v>
      </c>
      <c r="E227" s="74" t="s">
        <v>331</v>
      </c>
      <c r="F227" s="74" t="s">
        <v>622</v>
      </c>
      <c r="G227" s="75">
        <f>SUMPRODUCT(COUNTIFS(PROGRAM_DIRECTORY!$A$2:$A$334, $N227:$AB227, PROGRAM_DIRECTORY!$D$2:$D$334, "Non-Stage", PROGRAM_DIRECTORY!$E$2:$E$334, "Individual"))</f>
        <v>0</v>
      </c>
      <c r="H227" s="75">
        <f>SUMPRODUCT(COUNTIFS(PROGRAM_DIRECTORY!$A$2:$A$334, $N227:$AB227, PROGRAM_DIRECTORY!$D$2:$D$334, "Stage", PROGRAM_DIRECTORY!$E$2:$E$334, "Individual"))</f>
        <v>0</v>
      </c>
      <c r="I227" s="75">
        <f>SUMPRODUCT(COUNTIFS(PROGRAM_DIRECTORY!$A$2:$A$334, $N227:$AB227, PROGRAM_DIRECTORY!$D$2:$D$334, "Sports"))</f>
        <v>0</v>
      </c>
      <c r="J227" s="75">
        <f>SUMPRODUCT(COUNTIFS(PROGRAM_DIRECTORY!$A$2:$A$334, $N227:$AB227, PROGRAM_DIRECTORY!$E$2:$E$334, "Individual"))</f>
        <v>0</v>
      </c>
      <c r="K227" s="75">
        <f>SUMPRODUCT(COUNTIFS(PROGRAM_DIRECTORY!$A$2:$A$334, $N227:$AB227, PROGRAM_DIRECTORY!$E$2:$E$334, "Group"))</f>
        <v>0</v>
      </c>
      <c r="L227" s="75">
        <f t="shared" si="1"/>
        <v>0</v>
      </c>
      <c r="M227" s="75" t="str">
        <f t="shared" si="2"/>
        <v>Min 1 Required (Stage &amp; Non-Stage)</v>
      </c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AC227" s="79" t="str">
        <f t="shared" si="3"/>
        <v/>
      </c>
    </row>
    <row r="228">
      <c r="A228" s="74">
        <v>362.0</v>
      </c>
      <c r="B228" s="74" t="s">
        <v>882</v>
      </c>
      <c r="C228" s="74">
        <v>3.0</v>
      </c>
      <c r="D228" s="74" t="s">
        <v>4</v>
      </c>
      <c r="E228" s="74" t="s">
        <v>195</v>
      </c>
      <c r="F228" s="74" t="s">
        <v>622</v>
      </c>
      <c r="G228" s="75">
        <f>SUMPRODUCT(COUNTIFS(PROGRAM_DIRECTORY!$A$2:$A$334, $N228:$AB228, PROGRAM_DIRECTORY!$D$2:$D$334, "Non-Stage", PROGRAM_DIRECTORY!$E$2:$E$334, "Individual"))</f>
        <v>0</v>
      </c>
      <c r="H228" s="75">
        <f>SUMPRODUCT(COUNTIFS(PROGRAM_DIRECTORY!$A$2:$A$334, $N228:$AB228, PROGRAM_DIRECTORY!$D$2:$D$334, "Stage", PROGRAM_DIRECTORY!$E$2:$E$334, "Individual"))</f>
        <v>0</v>
      </c>
      <c r="I228" s="75">
        <f>SUMPRODUCT(COUNTIFS(PROGRAM_DIRECTORY!$A$2:$A$334, $N228:$AB228, PROGRAM_DIRECTORY!$D$2:$D$334, "Sports"))</f>
        <v>0</v>
      </c>
      <c r="J228" s="75">
        <f>SUMPRODUCT(COUNTIFS(PROGRAM_DIRECTORY!$A$2:$A$334, $N228:$AB228, PROGRAM_DIRECTORY!$E$2:$E$334, "Individual"))</f>
        <v>0</v>
      </c>
      <c r="K228" s="75">
        <f>SUMPRODUCT(COUNTIFS(PROGRAM_DIRECTORY!$A$2:$A$334, $N228:$AB228, PROGRAM_DIRECTORY!$E$2:$E$334, "Group"))</f>
        <v>0</v>
      </c>
      <c r="L228" s="75">
        <f t="shared" si="1"/>
        <v>0</v>
      </c>
      <c r="M228" s="75" t="str">
        <f t="shared" si="2"/>
        <v>Min 1 Required (Stage &amp; Non-Stage)</v>
      </c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AC228" s="79" t="str">
        <f t="shared" si="3"/>
        <v/>
      </c>
    </row>
    <row r="229">
      <c r="A229" s="74">
        <v>378.0</v>
      </c>
      <c r="B229" s="74" t="s">
        <v>883</v>
      </c>
      <c r="C229" s="74">
        <v>3.0</v>
      </c>
      <c r="D229" s="74" t="s">
        <v>4</v>
      </c>
      <c r="E229" s="74" t="s">
        <v>195</v>
      </c>
      <c r="F229" s="74" t="s">
        <v>622</v>
      </c>
      <c r="G229" s="75">
        <f>SUMPRODUCT(COUNTIFS(PROGRAM_DIRECTORY!$A$2:$A$334, $N229:$AB229, PROGRAM_DIRECTORY!$D$2:$D$334, "Non-Stage", PROGRAM_DIRECTORY!$E$2:$E$334, "Individual"))</f>
        <v>0</v>
      </c>
      <c r="H229" s="75">
        <f>SUMPRODUCT(COUNTIFS(PROGRAM_DIRECTORY!$A$2:$A$334, $N229:$AB229, PROGRAM_DIRECTORY!$D$2:$D$334, "Stage", PROGRAM_DIRECTORY!$E$2:$E$334, "Individual"))</f>
        <v>0</v>
      </c>
      <c r="I229" s="75">
        <f>SUMPRODUCT(COUNTIFS(PROGRAM_DIRECTORY!$A$2:$A$334, $N229:$AB229, PROGRAM_DIRECTORY!$D$2:$D$334, "Sports"))</f>
        <v>0</v>
      </c>
      <c r="J229" s="75">
        <f>SUMPRODUCT(COUNTIFS(PROGRAM_DIRECTORY!$A$2:$A$334, $N229:$AB229, PROGRAM_DIRECTORY!$E$2:$E$334, "Individual"))</f>
        <v>0</v>
      </c>
      <c r="K229" s="75">
        <f>SUMPRODUCT(COUNTIFS(PROGRAM_DIRECTORY!$A$2:$A$334, $N229:$AB229, PROGRAM_DIRECTORY!$E$2:$E$334, "Group"))</f>
        <v>0</v>
      </c>
      <c r="L229" s="75">
        <f t="shared" si="1"/>
        <v>0</v>
      </c>
      <c r="M229" s="75" t="str">
        <f t="shared" si="2"/>
        <v>Min 1 Required (Stage &amp; Non-Stage)</v>
      </c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AC229" s="79" t="str">
        <f t="shared" si="3"/>
        <v/>
      </c>
    </row>
    <row r="230">
      <c r="A230" s="74">
        <v>334.0</v>
      </c>
      <c r="B230" s="74" t="s">
        <v>884</v>
      </c>
      <c r="C230" s="74">
        <v>3.0</v>
      </c>
      <c r="D230" s="74" t="s">
        <v>4</v>
      </c>
      <c r="E230" s="74" t="s">
        <v>450</v>
      </c>
      <c r="F230" s="74" t="s">
        <v>622</v>
      </c>
      <c r="G230" s="75">
        <f>SUMPRODUCT(COUNTIFS(PROGRAM_DIRECTORY!$A$2:$A$334, $N230:$AB230, PROGRAM_DIRECTORY!$D$2:$D$334, "Non-Stage", PROGRAM_DIRECTORY!$E$2:$E$334, "Individual"))</f>
        <v>0</v>
      </c>
      <c r="H230" s="75">
        <f>SUMPRODUCT(COUNTIFS(PROGRAM_DIRECTORY!$A$2:$A$334, $N230:$AB230, PROGRAM_DIRECTORY!$D$2:$D$334, "Stage", PROGRAM_DIRECTORY!$E$2:$E$334, "Individual"))</f>
        <v>0</v>
      </c>
      <c r="I230" s="75">
        <f>SUMPRODUCT(COUNTIFS(PROGRAM_DIRECTORY!$A$2:$A$334, $N230:$AB230, PROGRAM_DIRECTORY!$D$2:$D$334, "Sports"))</f>
        <v>0</v>
      </c>
      <c r="J230" s="75">
        <f>SUMPRODUCT(COUNTIFS(PROGRAM_DIRECTORY!$A$2:$A$334, $N230:$AB230, PROGRAM_DIRECTORY!$E$2:$E$334, "Individual"))</f>
        <v>0</v>
      </c>
      <c r="K230" s="75">
        <f>SUMPRODUCT(COUNTIFS(PROGRAM_DIRECTORY!$A$2:$A$334, $N230:$AB230, PROGRAM_DIRECTORY!$E$2:$E$334, "Group"))</f>
        <v>0</v>
      </c>
      <c r="L230" s="75">
        <f t="shared" si="1"/>
        <v>0</v>
      </c>
      <c r="M230" s="75" t="str">
        <f t="shared" si="2"/>
        <v>Min 1 Required (Stage &amp; Non-Stage)</v>
      </c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AC230" s="79" t="str">
        <f t="shared" si="3"/>
        <v/>
      </c>
    </row>
    <row r="231">
      <c r="A231" s="74">
        <v>359.0</v>
      </c>
      <c r="B231" s="74" t="s">
        <v>885</v>
      </c>
      <c r="C231" s="74">
        <v>3.0</v>
      </c>
      <c r="D231" s="74" t="s">
        <v>4</v>
      </c>
      <c r="E231" s="74" t="s">
        <v>331</v>
      </c>
      <c r="F231" s="74" t="s">
        <v>622</v>
      </c>
      <c r="G231" s="75">
        <f>SUMPRODUCT(COUNTIFS(PROGRAM_DIRECTORY!$A$2:$A$334, $N231:$AB231, PROGRAM_DIRECTORY!$D$2:$D$334, "Non-Stage", PROGRAM_DIRECTORY!$E$2:$E$334, "Individual"))</f>
        <v>0</v>
      </c>
      <c r="H231" s="75">
        <f>SUMPRODUCT(COUNTIFS(PROGRAM_DIRECTORY!$A$2:$A$334, $N231:$AB231, PROGRAM_DIRECTORY!$D$2:$D$334, "Stage", PROGRAM_DIRECTORY!$E$2:$E$334, "Individual"))</f>
        <v>0</v>
      </c>
      <c r="I231" s="75">
        <f>SUMPRODUCT(COUNTIFS(PROGRAM_DIRECTORY!$A$2:$A$334, $N231:$AB231, PROGRAM_DIRECTORY!$D$2:$D$334, "Sports"))</f>
        <v>0</v>
      </c>
      <c r="J231" s="75">
        <f>SUMPRODUCT(COUNTIFS(PROGRAM_DIRECTORY!$A$2:$A$334, $N231:$AB231, PROGRAM_DIRECTORY!$E$2:$E$334, "Individual"))</f>
        <v>0</v>
      </c>
      <c r="K231" s="75">
        <f>SUMPRODUCT(COUNTIFS(PROGRAM_DIRECTORY!$A$2:$A$334, $N231:$AB231, PROGRAM_DIRECTORY!$E$2:$E$334, "Group"))</f>
        <v>0</v>
      </c>
      <c r="L231" s="75">
        <f t="shared" si="1"/>
        <v>0</v>
      </c>
      <c r="M231" s="75" t="str">
        <f t="shared" si="2"/>
        <v>Min 1 Required (Stage &amp; Non-Stage)</v>
      </c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AC231" s="79" t="str">
        <f t="shared" si="3"/>
        <v/>
      </c>
    </row>
    <row r="232">
      <c r="A232" s="74">
        <v>375.0</v>
      </c>
      <c r="B232" s="74" t="s">
        <v>886</v>
      </c>
      <c r="C232" s="74">
        <v>3.0</v>
      </c>
      <c r="D232" s="74" t="s">
        <v>4</v>
      </c>
      <c r="E232" s="74" t="s">
        <v>450</v>
      </c>
      <c r="F232" s="74" t="s">
        <v>622</v>
      </c>
      <c r="G232" s="75">
        <f>SUMPRODUCT(COUNTIFS(PROGRAM_DIRECTORY!$A$2:$A$334, $N232:$AB232, PROGRAM_DIRECTORY!$D$2:$D$334, "Non-Stage", PROGRAM_DIRECTORY!$E$2:$E$334, "Individual"))</f>
        <v>0</v>
      </c>
      <c r="H232" s="75">
        <f>SUMPRODUCT(COUNTIFS(PROGRAM_DIRECTORY!$A$2:$A$334, $N232:$AB232, PROGRAM_DIRECTORY!$D$2:$D$334, "Stage", PROGRAM_DIRECTORY!$E$2:$E$334, "Individual"))</f>
        <v>0</v>
      </c>
      <c r="I232" s="75">
        <f>SUMPRODUCT(COUNTIFS(PROGRAM_DIRECTORY!$A$2:$A$334, $N232:$AB232, PROGRAM_DIRECTORY!$D$2:$D$334, "Sports"))</f>
        <v>0</v>
      </c>
      <c r="J232" s="75">
        <f>SUMPRODUCT(COUNTIFS(PROGRAM_DIRECTORY!$A$2:$A$334, $N232:$AB232, PROGRAM_DIRECTORY!$E$2:$E$334, "Individual"))</f>
        <v>0</v>
      </c>
      <c r="K232" s="75">
        <f>SUMPRODUCT(COUNTIFS(PROGRAM_DIRECTORY!$A$2:$A$334, $N232:$AB232, PROGRAM_DIRECTORY!$E$2:$E$334, "Group"))</f>
        <v>0</v>
      </c>
      <c r="L232" s="75">
        <f t="shared" si="1"/>
        <v>0</v>
      </c>
      <c r="M232" s="75" t="str">
        <f t="shared" si="2"/>
        <v>Min 1 Required (Stage &amp; Non-Stage)</v>
      </c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AC232" s="79" t="str">
        <f t="shared" si="3"/>
        <v/>
      </c>
    </row>
    <row r="233">
      <c r="A233" s="74">
        <v>369.0</v>
      </c>
      <c r="B233" s="74" t="s">
        <v>887</v>
      </c>
      <c r="C233" s="74">
        <v>3.0</v>
      </c>
      <c r="D233" s="74" t="s">
        <v>4</v>
      </c>
      <c r="E233" s="74" t="s">
        <v>195</v>
      </c>
      <c r="F233" s="74" t="s">
        <v>622</v>
      </c>
      <c r="G233" s="75">
        <f>SUMPRODUCT(COUNTIFS(PROGRAM_DIRECTORY!$A$2:$A$334, $N233:$AB233, PROGRAM_DIRECTORY!$D$2:$D$334, "Non-Stage", PROGRAM_DIRECTORY!$E$2:$E$334, "Individual"))</f>
        <v>0</v>
      </c>
      <c r="H233" s="75">
        <f>SUMPRODUCT(COUNTIFS(PROGRAM_DIRECTORY!$A$2:$A$334, $N233:$AB233, PROGRAM_DIRECTORY!$D$2:$D$334, "Stage", PROGRAM_DIRECTORY!$E$2:$E$334, "Individual"))</f>
        <v>0</v>
      </c>
      <c r="I233" s="75">
        <f>SUMPRODUCT(COUNTIFS(PROGRAM_DIRECTORY!$A$2:$A$334, $N233:$AB233, PROGRAM_DIRECTORY!$D$2:$D$334, "Sports"))</f>
        <v>0</v>
      </c>
      <c r="J233" s="75">
        <f>SUMPRODUCT(COUNTIFS(PROGRAM_DIRECTORY!$A$2:$A$334, $N233:$AB233, PROGRAM_DIRECTORY!$E$2:$E$334, "Individual"))</f>
        <v>0</v>
      </c>
      <c r="K233" s="75">
        <f>SUMPRODUCT(COUNTIFS(PROGRAM_DIRECTORY!$A$2:$A$334, $N233:$AB233, PROGRAM_DIRECTORY!$E$2:$E$334, "Group"))</f>
        <v>0</v>
      </c>
      <c r="L233" s="75">
        <f t="shared" si="1"/>
        <v>0</v>
      </c>
      <c r="M233" s="75" t="str">
        <f t="shared" si="2"/>
        <v>Min 1 Required (Stage &amp; Non-Stage)</v>
      </c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AC233" s="79" t="str">
        <f t="shared" si="3"/>
        <v/>
      </c>
    </row>
    <row r="234">
      <c r="A234" s="74">
        <v>438.0</v>
      </c>
      <c r="B234" s="74" t="s">
        <v>888</v>
      </c>
      <c r="C234" s="74">
        <v>3.0</v>
      </c>
      <c r="D234" s="74" t="s">
        <v>4</v>
      </c>
      <c r="E234" s="74" t="s">
        <v>380</v>
      </c>
      <c r="F234" s="74" t="s">
        <v>622</v>
      </c>
      <c r="G234" s="75">
        <f>SUMPRODUCT(COUNTIFS(PROGRAM_DIRECTORY!$A$2:$A$334, $N234:$AB234, PROGRAM_DIRECTORY!$D$2:$D$334, "Non-Stage", PROGRAM_DIRECTORY!$E$2:$E$334, "Individual"))</f>
        <v>0</v>
      </c>
      <c r="H234" s="75">
        <f>SUMPRODUCT(COUNTIFS(PROGRAM_DIRECTORY!$A$2:$A$334, $N234:$AB234, PROGRAM_DIRECTORY!$D$2:$D$334, "Stage", PROGRAM_DIRECTORY!$E$2:$E$334, "Individual"))</f>
        <v>0</v>
      </c>
      <c r="I234" s="75">
        <f>SUMPRODUCT(COUNTIFS(PROGRAM_DIRECTORY!$A$2:$A$334, $N234:$AB234, PROGRAM_DIRECTORY!$D$2:$D$334, "Sports"))</f>
        <v>0</v>
      </c>
      <c r="J234" s="75">
        <f>SUMPRODUCT(COUNTIFS(PROGRAM_DIRECTORY!$A$2:$A$334, $N234:$AB234, PROGRAM_DIRECTORY!$E$2:$E$334, "Individual"))</f>
        <v>0</v>
      </c>
      <c r="K234" s="75">
        <f>SUMPRODUCT(COUNTIFS(PROGRAM_DIRECTORY!$A$2:$A$334, $N234:$AB234, PROGRAM_DIRECTORY!$E$2:$E$334, "Group"))</f>
        <v>0</v>
      </c>
      <c r="L234" s="75">
        <f t="shared" si="1"/>
        <v>0</v>
      </c>
      <c r="M234" s="75" t="str">
        <f t="shared" si="2"/>
        <v>Min 1 Required (Stage &amp; Non-Stage)</v>
      </c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AC234" s="79" t="str">
        <f t="shared" si="3"/>
        <v/>
      </c>
    </row>
    <row r="235">
      <c r="A235" s="74">
        <v>413.0</v>
      </c>
      <c r="B235" s="74" t="s">
        <v>889</v>
      </c>
      <c r="C235" s="74">
        <v>2.0</v>
      </c>
      <c r="D235" s="74" t="s">
        <v>4</v>
      </c>
      <c r="E235" s="74" t="s">
        <v>195</v>
      </c>
      <c r="F235" s="74" t="s">
        <v>622</v>
      </c>
      <c r="G235" s="75">
        <f>SUMPRODUCT(COUNTIFS(PROGRAM_DIRECTORY!$A$2:$A$334, $N235:$AB235, PROGRAM_DIRECTORY!$D$2:$D$334, "Non-Stage", PROGRAM_DIRECTORY!$E$2:$E$334, "Individual"))</f>
        <v>0</v>
      </c>
      <c r="H235" s="75">
        <f>SUMPRODUCT(COUNTIFS(PROGRAM_DIRECTORY!$A$2:$A$334, $N235:$AB235, PROGRAM_DIRECTORY!$D$2:$D$334, "Stage", PROGRAM_DIRECTORY!$E$2:$E$334, "Individual"))</f>
        <v>0</v>
      </c>
      <c r="I235" s="75">
        <f>SUMPRODUCT(COUNTIFS(PROGRAM_DIRECTORY!$A$2:$A$334, $N235:$AB235, PROGRAM_DIRECTORY!$D$2:$D$334, "Sports"))</f>
        <v>0</v>
      </c>
      <c r="J235" s="75">
        <f>SUMPRODUCT(COUNTIFS(PROGRAM_DIRECTORY!$A$2:$A$334, $N235:$AB235, PROGRAM_DIRECTORY!$E$2:$E$334, "Individual"))</f>
        <v>0</v>
      </c>
      <c r="K235" s="75">
        <f>SUMPRODUCT(COUNTIFS(PROGRAM_DIRECTORY!$A$2:$A$334, $N235:$AB235, PROGRAM_DIRECTORY!$E$2:$E$334, "Group"))</f>
        <v>0</v>
      </c>
      <c r="L235" s="75">
        <f t="shared" si="1"/>
        <v>0</v>
      </c>
      <c r="M235" s="75" t="str">
        <f t="shared" si="2"/>
        <v>Min 1 Required (Stage &amp; Non-Stage)</v>
      </c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AC235" s="79" t="str">
        <f t="shared" si="3"/>
        <v/>
      </c>
    </row>
    <row r="236">
      <c r="A236" s="74">
        <v>414.0</v>
      </c>
      <c r="B236" s="74" t="s">
        <v>890</v>
      </c>
      <c r="C236" s="74">
        <v>2.0</v>
      </c>
      <c r="D236" s="74" t="s">
        <v>4</v>
      </c>
      <c r="E236" s="74" t="s">
        <v>450</v>
      </c>
      <c r="F236" s="74" t="s">
        <v>622</v>
      </c>
      <c r="G236" s="75">
        <f>SUMPRODUCT(COUNTIFS(PROGRAM_DIRECTORY!$A$2:$A$334, $N236:$AB236, PROGRAM_DIRECTORY!$D$2:$D$334, "Non-Stage", PROGRAM_DIRECTORY!$E$2:$E$334, "Individual"))</f>
        <v>0</v>
      </c>
      <c r="H236" s="75">
        <f>SUMPRODUCT(COUNTIFS(PROGRAM_DIRECTORY!$A$2:$A$334, $N236:$AB236, PROGRAM_DIRECTORY!$D$2:$D$334, "Stage", PROGRAM_DIRECTORY!$E$2:$E$334, "Individual"))</f>
        <v>0</v>
      </c>
      <c r="I236" s="75">
        <f>SUMPRODUCT(COUNTIFS(PROGRAM_DIRECTORY!$A$2:$A$334, $N236:$AB236, PROGRAM_DIRECTORY!$D$2:$D$334, "Sports"))</f>
        <v>0</v>
      </c>
      <c r="J236" s="75">
        <f>SUMPRODUCT(COUNTIFS(PROGRAM_DIRECTORY!$A$2:$A$334, $N236:$AB236, PROGRAM_DIRECTORY!$E$2:$E$334, "Individual"))</f>
        <v>0</v>
      </c>
      <c r="K236" s="75">
        <f>SUMPRODUCT(COUNTIFS(PROGRAM_DIRECTORY!$A$2:$A$334, $N236:$AB236, PROGRAM_DIRECTORY!$E$2:$E$334, "Group"))</f>
        <v>0</v>
      </c>
      <c r="L236" s="75">
        <f t="shared" si="1"/>
        <v>0</v>
      </c>
      <c r="M236" s="75" t="str">
        <f t="shared" si="2"/>
        <v>Min 1 Required (Stage &amp; Non-Stage)</v>
      </c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AC236" s="79" t="str">
        <f t="shared" si="3"/>
        <v/>
      </c>
    </row>
    <row r="237">
      <c r="A237" s="74">
        <v>416.0</v>
      </c>
      <c r="B237" s="74" t="s">
        <v>891</v>
      </c>
      <c r="C237" s="74">
        <v>2.0</v>
      </c>
      <c r="D237" s="74" t="s">
        <v>4</v>
      </c>
      <c r="E237" s="74" t="s">
        <v>195</v>
      </c>
      <c r="F237" s="74" t="s">
        <v>622</v>
      </c>
      <c r="G237" s="75">
        <f>SUMPRODUCT(COUNTIFS(PROGRAM_DIRECTORY!$A$2:$A$334, $N237:$AB237, PROGRAM_DIRECTORY!$D$2:$D$334, "Non-Stage", PROGRAM_DIRECTORY!$E$2:$E$334, "Individual"))</f>
        <v>0</v>
      </c>
      <c r="H237" s="75">
        <f>SUMPRODUCT(COUNTIFS(PROGRAM_DIRECTORY!$A$2:$A$334, $N237:$AB237, PROGRAM_DIRECTORY!$D$2:$D$334, "Stage", PROGRAM_DIRECTORY!$E$2:$E$334, "Individual"))</f>
        <v>0</v>
      </c>
      <c r="I237" s="75">
        <f>SUMPRODUCT(COUNTIFS(PROGRAM_DIRECTORY!$A$2:$A$334, $N237:$AB237, PROGRAM_DIRECTORY!$D$2:$D$334, "Sports"))</f>
        <v>0</v>
      </c>
      <c r="J237" s="75">
        <f>SUMPRODUCT(COUNTIFS(PROGRAM_DIRECTORY!$A$2:$A$334, $N237:$AB237, PROGRAM_DIRECTORY!$E$2:$E$334, "Individual"))</f>
        <v>0</v>
      </c>
      <c r="K237" s="75">
        <f>SUMPRODUCT(COUNTIFS(PROGRAM_DIRECTORY!$A$2:$A$334, $N237:$AB237, PROGRAM_DIRECTORY!$E$2:$E$334, "Group"))</f>
        <v>0</v>
      </c>
      <c r="L237" s="75">
        <f t="shared" si="1"/>
        <v>0</v>
      </c>
      <c r="M237" s="75" t="str">
        <f t="shared" si="2"/>
        <v>Min 1 Required (Stage &amp; Non-Stage)</v>
      </c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AC237" s="79" t="str">
        <f t="shared" si="3"/>
        <v/>
      </c>
    </row>
    <row r="238">
      <c r="A238" s="74">
        <v>421.0</v>
      </c>
      <c r="B238" s="74" t="s">
        <v>892</v>
      </c>
      <c r="C238" s="74">
        <v>2.0</v>
      </c>
      <c r="D238" s="74" t="s">
        <v>4</v>
      </c>
      <c r="E238" s="74" t="s">
        <v>331</v>
      </c>
      <c r="F238" s="74" t="s">
        <v>622</v>
      </c>
      <c r="G238" s="75">
        <f>SUMPRODUCT(COUNTIFS(PROGRAM_DIRECTORY!$A$2:$A$334, $N238:$AB238, PROGRAM_DIRECTORY!$D$2:$D$334, "Non-Stage", PROGRAM_DIRECTORY!$E$2:$E$334, "Individual"))</f>
        <v>0</v>
      </c>
      <c r="H238" s="75">
        <f>SUMPRODUCT(COUNTIFS(PROGRAM_DIRECTORY!$A$2:$A$334, $N238:$AB238, PROGRAM_DIRECTORY!$D$2:$D$334, "Stage", PROGRAM_DIRECTORY!$E$2:$E$334, "Individual"))</f>
        <v>0</v>
      </c>
      <c r="I238" s="75">
        <f>SUMPRODUCT(COUNTIFS(PROGRAM_DIRECTORY!$A$2:$A$334, $N238:$AB238, PROGRAM_DIRECTORY!$D$2:$D$334, "Sports"))</f>
        <v>0</v>
      </c>
      <c r="J238" s="75">
        <f>SUMPRODUCT(COUNTIFS(PROGRAM_DIRECTORY!$A$2:$A$334, $N238:$AB238, PROGRAM_DIRECTORY!$E$2:$E$334, "Individual"))</f>
        <v>0</v>
      </c>
      <c r="K238" s="75">
        <f>SUMPRODUCT(COUNTIFS(PROGRAM_DIRECTORY!$A$2:$A$334, $N238:$AB238, PROGRAM_DIRECTORY!$E$2:$E$334, "Group"))</f>
        <v>0</v>
      </c>
      <c r="L238" s="75">
        <f t="shared" si="1"/>
        <v>0</v>
      </c>
      <c r="M238" s="75" t="str">
        <f t="shared" si="2"/>
        <v>Min 1 Required (Stage &amp; Non-Stage)</v>
      </c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AC238" s="79" t="str">
        <f t="shared" si="3"/>
        <v/>
      </c>
    </row>
    <row r="239">
      <c r="A239" s="74">
        <v>420.0</v>
      </c>
      <c r="B239" s="74" t="s">
        <v>893</v>
      </c>
      <c r="C239" s="74">
        <v>2.0</v>
      </c>
      <c r="D239" s="74" t="s">
        <v>4</v>
      </c>
      <c r="E239" s="74" t="s">
        <v>195</v>
      </c>
      <c r="F239" s="74" t="s">
        <v>622</v>
      </c>
      <c r="G239" s="75">
        <f>SUMPRODUCT(COUNTIFS(PROGRAM_DIRECTORY!$A$2:$A$334, $N239:$AB239, PROGRAM_DIRECTORY!$D$2:$D$334, "Non-Stage", PROGRAM_DIRECTORY!$E$2:$E$334, "Individual"))</f>
        <v>0</v>
      </c>
      <c r="H239" s="75">
        <f>SUMPRODUCT(COUNTIFS(PROGRAM_DIRECTORY!$A$2:$A$334, $N239:$AB239, PROGRAM_DIRECTORY!$D$2:$D$334, "Stage", PROGRAM_DIRECTORY!$E$2:$E$334, "Individual"))</f>
        <v>0</v>
      </c>
      <c r="I239" s="75">
        <f>SUMPRODUCT(COUNTIFS(PROGRAM_DIRECTORY!$A$2:$A$334, $N239:$AB239, PROGRAM_DIRECTORY!$D$2:$D$334, "Sports"))</f>
        <v>0</v>
      </c>
      <c r="J239" s="75">
        <f>SUMPRODUCT(COUNTIFS(PROGRAM_DIRECTORY!$A$2:$A$334, $N239:$AB239, PROGRAM_DIRECTORY!$E$2:$E$334, "Individual"))</f>
        <v>0</v>
      </c>
      <c r="K239" s="75">
        <f>SUMPRODUCT(COUNTIFS(PROGRAM_DIRECTORY!$A$2:$A$334, $N239:$AB239, PROGRAM_DIRECTORY!$E$2:$E$334, "Group"))</f>
        <v>0</v>
      </c>
      <c r="L239" s="75">
        <f t="shared" si="1"/>
        <v>0</v>
      </c>
      <c r="M239" s="75" t="str">
        <f t="shared" si="2"/>
        <v>Min 1 Required (Stage &amp; Non-Stage)</v>
      </c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AC239" s="79" t="str">
        <f t="shared" si="3"/>
        <v/>
      </c>
    </row>
    <row r="240">
      <c r="A240" s="74">
        <v>409.0</v>
      </c>
      <c r="B240" s="74" t="s">
        <v>894</v>
      </c>
      <c r="C240" s="74">
        <v>2.0</v>
      </c>
      <c r="D240" s="74" t="s">
        <v>4</v>
      </c>
      <c r="E240" s="74" t="s">
        <v>195</v>
      </c>
      <c r="F240" s="74" t="s">
        <v>622</v>
      </c>
      <c r="G240" s="75">
        <f>SUMPRODUCT(COUNTIFS(PROGRAM_DIRECTORY!$A$2:$A$334, $N240:$AB240, PROGRAM_DIRECTORY!$D$2:$D$334, "Non-Stage", PROGRAM_DIRECTORY!$E$2:$E$334, "Individual"))</f>
        <v>0</v>
      </c>
      <c r="H240" s="75">
        <f>SUMPRODUCT(COUNTIFS(PROGRAM_DIRECTORY!$A$2:$A$334, $N240:$AB240, PROGRAM_DIRECTORY!$D$2:$D$334, "Stage", PROGRAM_DIRECTORY!$E$2:$E$334, "Individual"))</f>
        <v>0</v>
      </c>
      <c r="I240" s="75">
        <f>SUMPRODUCT(COUNTIFS(PROGRAM_DIRECTORY!$A$2:$A$334, $N240:$AB240, PROGRAM_DIRECTORY!$D$2:$D$334, "Sports"))</f>
        <v>0</v>
      </c>
      <c r="J240" s="75">
        <f>SUMPRODUCT(COUNTIFS(PROGRAM_DIRECTORY!$A$2:$A$334, $N240:$AB240, PROGRAM_DIRECTORY!$E$2:$E$334, "Individual"))</f>
        <v>0</v>
      </c>
      <c r="K240" s="75">
        <f>SUMPRODUCT(COUNTIFS(PROGRAM_DIRECTORY!$A$2:$A$334, $N240:$AB240, PROGRAM_DIRECTORY!$E$2:$E$334, "Group"))</f>
        <v>0</v>
      </c>
      <c r="L240" s="75">
        <f t="shared" si="1"/>
        <v>0</v>
      </c>
      <c r="M240" s="75" t="str">
        <f t="shared" si="2"/>
        <v>Min 1 Required (Stage &amp; Non-Stage)</v>
      </c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AC240" s="79" t="str">
        <f t="shared" si="3"/>
        <v/>
      </c>
    </row>
    <row r="241">
      <c r="A241" s="74">
        <v>428.0</v>
      </c>
      <c r="B241" s="74" t="s">
        <v>895</v>
      </c>
      <c r="C241" s="74">
        <v>2.0</v>
      </c>
      <c r="D241" s="74" t="s">
        <v>4</v>
      </c>
      <c r="E241" s="74" t="s">
        <v>380</v>
      </c>
      <c r="F241" s="74" t="s">
        <v>622</v>
      </c>
      <c r="G241" s="75">
        <f>SUMPRODUCT(COUNTIFS(PROGRAM_DIRECTORY!$A$2:$A$334, $N241:$AB241, PROGRAM_DIRECTORY!$D$2:$D$334, "Non-Stage", PROGRAM_DIRECTORY!$E$2:$E$334, "Individual"))</f>
        <v>0</v>
      </c>
      <c r="H241" s="75">
        <f>SUMPRODUCT(COUNTIFS(PROGRAM_DIRECTORY!$A$2:$A$334, $N241:$AB241, PROGRAM_DIRECTORY!$D$2:$D$334, "Stage", PROGRAM_DIRECTORY!$E$2:$E$334, "Individual"))</f>
        <v>0</v>
      </c>
      <c r="I241" s="75">
        <f>SUMPRODUCT(COUNTIFS(PROGRAM_DIRECTORY!$A$2:$A$334, $N241:$AB241, PROGRAM_DIRECTORY!$D$2:$D$334, "Sports"))</f>
        <v>0</v>
      </c>
      <c r="J241" s="75">
        <f>SUMPRODUCT(COUNTIFS(PROGRAM_DIRECTORY!$A$2:$A$334, $N241:$AB241, PROGRAM_DIRECTORY!$E$2:$E$334, "Individual"))</f>
        <v>0</v>
      </c>
      <c r="K241" s="75">
        <f>SUMPRODUCT(COUNTIFS(PROGRAM_DIRECTORY!$A$2:$A$334, $N241:$AB241, PROGRAM_DIRECTORY!$E$2:$E$334, "Group"))</f>
        <v>0</v>
      </c>
      <c r="L241" s="75">
        <f t="shared" si="1"/>
        <v>0</v>
      </c>
      <c r="M241" s="75" t="str">
        <f t="shared" si="2"/>
        <v>Min 1 Required (Stage &amp; Non-Stage)</v>
      </c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AC241" s="79" t="str">
        <f t="shared" si="3"/>
        <v/>
      </c>
    </row>
    <row r="242">
      <c r="A242" s="74">
        <v>431.0</v>
      </c>
      <c r="B242" s="74" t="s">
        <v>896</v>
      </c>
      <c r="C242" s="74">
        <v>2.0</v>
      </c>
      <c r="D242" s="74" t="s">
        <v>4</v>
      </c>
      <c r="E242" s="74" t="s">
        <v>380</v>
      </c>
      <c r="F242" s="74" t="s">
        <v>622</v>
      </c>
      <c r="G242" s="75">
        <f>SUMPRODUCT(COUNTIFS(PROGRAM_DIRECTORY!$A$2:$A$334, $N242:$AB242, PROGRAM_DIRECTORY!$D$2:$D$334, "Non-Stage", PROGRAM_DIRECTORY!$E$2:$E$334, "Individual"))</f>
        <v>0</v>
      </c>
      <c r="H242" s="75">
        <f>SUMPRODUCT(COUNTIFS(PROGRAM_DIRECTORY!$A$2:$A$334, $N242:$AB242, PROGRAM_DIRECTORY!$D$2:$D$334, "Stage", PROGRAM_DIRECTORY!$E$2:$E$334, "Individual"))</f>
        <v>0</v>
      </c>
      <c r="I242" s="75">
        <f>SUMPRODUCT(COUNTIFS(PROGRAM_DIRECTORY!$A$2:$A$334, $N242:$AB242, PROGRAM_DIRECTORY!$D$2:$D$334, "Sports"))</f>
        <v>0</v>
      </c>
      <c r="J242" s="75">
        <f>SUMPRODUCT(COUNTIFS(PROGRAM_DIRECTORY!$A$2:$A$334, $N242:$AB242, PROGRAM_DIRECTORY!$E$2:$E$334, "Individual"))</f>
        <v>0</v>
      </c>
      <c r="K242" s="75">
        <f>SUMPRODUCT(COUNTIFS(PROGRAM_DIRECTORY!$A$2:$A$334, $N242:$AB242, PROGRAM_DIRECTORY!$E$2:$E$334, "Group"))</f>
        <v>0</v>
      </c>
      <c r="L242" s="75">
        <f t="shared" si="1"/>
        <v>0</v>
      </c>
      <c r="M242" s="75" t="str">
        <f t="shared" si="2"/>
        <v>Min 1 Required (Stage &amp; Non-Stage)</v>
      </c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AC242" s="79" t="str">
        <f t="shared" si="3"/>
        <v/>
      </c>
    </row>
    <row r="243">
      <c r="A243" s="74">
        <v>385.0</v>
      </c>
      <c r="B243" s="74" t="s">
        <v>897</v>
      </c>
      <c r="C243" s="74">
        <v>2.0</v>
      </c>
      <c r="D243" s="74" t="s">
        <v>4</v>
      </c>
      <c r="E243" s="74" t="s">
        <v>380</v>
      </c>
      <c r="F243" s="74" t="s">
        <v>622</v>
      </c>
      <c r="G243" s="75">
        <f>SUMPRODUCT(COUNTIFS(PROGRAM_DIRECTORY!$A$2:$A$334, $N243:$AB243, PROGRAM_DIRECTORY!$D$2:$D$334, "Non-Stage", PROGRAM_DIRECTORY!$E$2:$E$334, "Individual"))</f>
        <v>0</v>
      </c>
      <c r="H243" s="75">
        <f>SUMPRODUCT(COUNTIFS(PROGRAM_DIRECTORY!$A$2:$A$334, $N243:$AB243, PROGRAM_DIRECTORY!$D$2:$D$334, "Stage", PROGRAM_DIRECTORY!$E$2:$E$334, "Individual"))</f>
        <v>0</v>
      </c>
      <c r="I243" s="75">
        <f>SUMPRODUCT(COUNTIFS(PROGRAM_DIRECTORY!$A$2:$A$334, $N243:$AB243, PROGRAM_DIRECTORY!$D$2:$D$334, "Sports"))</f>
        <v>0</v>
      </c>
      <c r="J243" s="75">
        <f>SUMPRODUCT(COUNTIFS(PROGRAM_DIRECTORY!$A$2:$A$334, $N243:$AB243, PROGRAM_DIRECTORY!$E$2:$E$334, "Individual"))</f>
        <v>0</v>
      </c>
      <c r="K243" s="75">
        <f>SUMPRODUCT(COUNTIFS(PROGRAM_DIRECTORY!$A$2:$A$334, $N243:$AB243, PROGRAM_DIRECTORY!$E$2:$E$334, "Group"))</f>
        <v>0</v>
      </c>
      <c r="L243" s="75">
        <f t="shared" si="1"/>
        <v>0</v>
      </c>
      <c r="M243" s="75" t="str">
        <f t="shared" si="2"/>
        <v>Min 1 Required (Stage &amp; Non-Stage)</v>
      </c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AC243" s="79" t="str">
        <f t="shared" si="3"/>
        <v/>
      </c>
    </row>
    <row r="244">
      <c r="A244" s="74">
        <v>408.0</v>
      </c>
      <c r="B244" s="74" t="s">
        <v>898</v>
      </c>
      <c r="C244" s="74">
        <v>2.0</v>
      </c>
      <c r="D244" s="74" t="s">
        <v>4</v>
      </c>
      <c r="E244" s="74" t="s">
        <v>195</v>
      </c>
      <c r="F244" s="74" t="s">
        <v>622</v>
      </c>
      <c r="G244" s="75">
        <f>SUMPRODUCT(COUNTIFS(PROGRAM_DIRECTORY!$A$2:$A$334, $N244:$AB244, PROGRAM_DIRECTORY!$D$2:$D$334, "Non-Stage", PROGRAM_DIRECTORY!$E$2:$E$334, "Individual"))</f>
        <v>0</v>
      </c>
      <c r="H244" s="75">
        <f>SUMPRODUCT(COUNTIFS(PROGRAM_DIRECTORY!$A$2:$A$334, $N244:$AB244, PROGRAM_DIRECTORY!$D$2:$D$334, "Stage", PROGRAM_DIRECTORY!$E$2:$E$334, "Individual"))</f>
        <v>0</v>
      </c>
      <c r="I244" s="75">
        <f>SUMPRODUCT(COUNTIFS(PROGRAM_DIRECTORY!$A$2:$A$334, $N244:$AB244, PROGRAM_DIRECTORY!$D$2:$D$334, "Sports"))</f>
        <v>0</v>
      </c>
      <c r="J244" s="75">
        <f>SUMPRODUCT(COUNTIFS(PROGRAM_DIRECTORY!$A$2:$A$334, $N244:$AB244, PROGRAM_DIRECTORY!$E$2:$E$334, "Individual"))</f>
        <v>0</v>
      </c>
      <c r="K244" s="75">
        <f>SUMPRODUCT(COUNTIFS(PROGRAM_DIRECTORY!$A$2:$A$334, $N244:$AB244, PROGRAM_DIRECTORY!$E$2:$E$334, "Group"))</f>
        <v>0</v>
      </c>
      <c r="L244" s="75">
        <f t="shared" si="1"/>
        <v>0</v>
      </c>
      <c r="M244" s="75" t="str">
        <f t="shared" si="2"/>
        <v>Min 1 Required (Stage &amp; Non-Stage)</v>
      </c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AC244" s="79" t="str">
        <f t="shared" si="3"/>
        <v/>
      </c>
    </row>
    <row r="245">
      <c r="A245" s="74">
        <v>406.0</v>
      </c>
      <c r="B245" s="74" t="s">
        <v>899</v>
      </c>
      <c r="C245" s="74">
        <v>2.0</v>
      </c>
      <c r="D245" s="74" t="s">
        <v>4</v>
      </c>
      <c r="E245" s="74" t="s">
        <v>331</v>
      </c>
      <c r="F245" s="74" t="s">
        <v>622</v>
      </c>
      <c r="G245" s="75">
        <f>SUMPRODUCT(COUNTIFS(PROGRAM_DIRECTORY!$A$2:$A$334, $N245:$AB245, PROGRAM_DIRECTORY!$D$2:$D$334, "Non-Stage", PROGRAM_DIRECTORY!$E$2:$E$334, "Individual"))</f>
        <v>0</v>
      </c>
      <c r="H245" s="75">
        <f>SUMPRODUCT(COUNTIFS(PROGRAM_DIRECTORY!$A$2:$A$334, $N245:$AB245, PROGRAM_DIRECTORY!$D$2:$D$334, "Stage", PROGRAM_DIRECTORY!$E$2:$E$334, "Individual"))</f>
        <v>0</v>
      </c>
      <c r="I245" s="75">
        <f>SUMPRODUCT(COUNTIFS(PROGRAM_DIRECTORY!$A$2:$A$334, $N245:$AB245, PROGRAM_DIRECTORY!$D$2:$D$334, "Sports"))</f>
        <v>0</v>
      </c>
      <c r="J245" s="75">
        <f>SUMPRODUCT(COUNTIFS(PROGRAM_DIRECTORY!$A$2:$A$334, $N245:$AB245, PROGRAM_DIRECTORY!$E$2:$E$334, "Individual"))</f>
        <v>0</v>
      </c>
      <c r="K245" s="75">
        <f>SUMPRODUCT(COUNTIFS(PROGRAM_DIRECTORY!$A$2:$A$334, $N245:$AB245, PROGRAM_DIRECTORY!$E$2:$E$334, "Group"))</f>
        <v>0</v>
      </c>
      <c r="L245" s="75">
        <f t="shared" si="1"/>
        <v>0</v>
      </c>
      <c r="M245" s="75" t="str">
        <f t="shared" si="2"/>
        <v>Min 1 Required (Stage &amp; Non-Stage)</v>
      </c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AC245" s="79" t="str">
        <f t="shared" si="3"/>
        <v/>
      </c>
    </row>
    <row r="246">
      <c r="A246" s="74">
        <v>415.0</v>
      </c>
      <c r="B246" s="74" t="s">
        <v>900</v>
      </c>
      <c r="C246" s="74">
        <v>2.0</v>
      </c>
      <c r="D246" s="74" t="s">
        <v>4</v>
      </c>
      <c r="E246" s="74" t="s">
        <v>195</v>
      </c>
      <c r="F246" s="74" t="s">
        <v>622</v>
      </c>
      <c r="G246" s="75">
        <f>SUMPRODUCT(COUNTIFS(PROGRAM_DIRECTORY!$A$2:$A$334, $N246:$AB246, PROGRAM_DIRECTORY!$D$2:$D$334, "Non-Stage", PROGRAM_DIRECTORY!$E$2:$E$334, "Individual"))</f>
        <v>0</v>
      </c>
      <c r="H246" s="75">
        <f>SUMPRODUCT(COUNTIFS(PROGRAM_DIRECTORY!$A$2:$A$334, $N246:$AB246, PROGRAM_DIRECTORY!$D$2:$D$334, "Stage", PROGRAM_DIRECTORY!$E$2:$E$334, "Individual"))</f>
        <v>0</v>
      </c>
      <c r="I246" s="75">
        <f>SUMPRODUCT(COUNTIFS(PROGRAM_DIRECTORY!$A$2:$A$334, $N246:$AB246, PROGRAM_DIRECTORY!$D$2:$D$334, "Sports"))</f>
        <v>0</v>
      </c>
      <c r="J246" s="75">
        <f>SUMPRODUCT(COUNTIFS(PROGRAM_DIRECTORY!$A$2:$A$334, $N246:$AB246, PROGRAM_DIRECTORY!$E$2:$E$334, "Individual"))</f>
        <v>0</v>
      </c>
      <c r="K246" s="75">
        <f>SUMPRODUCT(COUNTIFS(PROGRAM_DIRECTORY!$A$2:$A$334, $N246:$AB246, PROGRAM_DIRECTORY!$E$2:$E$334, "Group"))</f>
        <v>0</v>
      </c>
      <c r="L246" s="75">
        <f t="shared" si="1"/>
        <v>0</v>
      </c>
      <c r="M246" s="75" t="str">
        <f t="shared" si="2"/>
        <v>Min 1 Required (Stage &amp; Non-Stage)</v>
      </c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AC246" s="79" t="str">
        <f t="shared" si="3"/>
        <v/>
      </c>
    </row>
    <row r="247">
      <c r="A247" s="74">
        <v>410.0</v>
      </c>
      <c r="B247" s="74" t="s">
        <v>901</v>
      </c>
      <c r="C247" s="74">
        <v>2.0</v>
      </c>
      <c r="D247" s="74" t="s">
        <v>4</v>
      </c>
      <c r="E247" s="74" t="s">
        <v>331</v>
      </c>
      <c r="F247" s="74" t="s">
        <v>622</v>
      </c>
      <c r="G247" s="75">
        <f>SUMPRODUCT(COUNTIFS(PROGRAM_DIRECTORY!$A$2:$A$334, $N247:$AB247, PROGRAM_DIRECTORY!$D$2:$D$334, "Non-Stage", PROGRAM_DIRECTORY!$E$2:$E$334, "Individual"))</f>
        <v>0</v>
      </c>
      <c r="H247" s="75">
        <f>SUMPRODUCT(COUNTIFS(PROGRAM_DIRECTORY!$A$2:$A$334, $N247:$AB247, PROGRAM_DIRECTORY!$D$2:$D$334, "Stage", PROGRAM_DIRECTORY!$E$2:$E$334, "Individual"))</f>
        <v>0</v>
      </c>
      <c r="I247" s="75">
        <f>SUMPRODUCT(COUNTIFS(PROGRAM_DIRECTORY!$A$2:$A$334, $N247:$AB247, PROGRAM_DIRECTORY!$D$2:$D$334, "Sports"))</f>
        <v>0</v>
      </c>
      <c r="J247" s="75">
        <f>SUMPRODUCT(COUNTIFS(PROGRAM_DIRECTORY!$A$2:$A$334, $N247:$AB247, PROGRAM_DIRECTORY!$E$2:$E$334, "Individual"))</f>
        <v>0</v>
      </c>
      <c r="K247" s="75">
        <f>SUMPRODUCT(COUNTIFS(PROGRAM_DIRECTORY!$A$2:$A$334, $N247:$AB247, PROGRAM_DIRECTORY!$E$2:$E$334, "Group"))</f>
        <v>0</v>
      </c>
      <c r="L247" s="75">
        <f t="shared" si="1"/>
        <v>0</v>
      </c>
      <c r="M247" s="75" t="str">
        <f t="shared" si="2"/>
        <v>Min 1 Required (Stage &amp; Non-Stage)</v>
      </c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AC247" s="79" t="str">
        <f t="shared" si="3"/>
        <v/>
      </c>
    </row>
    <row r="248">
      <c r="A248" s="74">
        <v>422.0</v>
      </c>
      <c r="B248" s="74" t="s">
        <v>902</v>
      </c>
      <c r="C248" s="74">
        <v>2.0</v>
      </c>
      <c r="D248" s="74" t="s">
        <v>4</v>
      </c>
      <c r="E248" s="74" t="s">
        <v>331</v>
      </c>
      <c r="F248" s="74" t="s">
        <v>622</v>
      </c>
      <c r="G248" s="75">
        <f>SUMPRODUCT(COUNTIFS(PROGRAM_DIRECTORY!$A$2:$A$334, $N248:$AB248, PROGRAM_DIRECTORY!$D$2:$D$334, "Non-Stage", PROGRAM_DIRECTORY!$E$2:$E$334, "Individual"))</f>
        <v>0</v>
      </c>
      <c r="H248" s="75">
        <f>SUMPRODUCT(COUNTIFS(PROGRAM_DIRECTORY!$A$2:$A$334, $N248:$AB248, PROGRAM_DIRECTORY!$D$2:$D$334, "Stage", PROGRAM_DIRECTORY!$E$2:$E$334, "Individual"))</f>
        <v>0</v>
      </c>
      <c r="I248" s="75">
        <f>SUMPRODUCT(COUNTIFS(PROGRAM_DIRECTORY!$A$2:$A$334, $N248:$AB248, PROGRAM_DIRECTORY!$D$2:$D$334, "Sports"))</f>
        <v>0</v>
      </c>
      <c r="J248" s="75">
        <f>SUMPRODUCT(COUNTIFS(PROGRAM_DIRECTORY!$A$2:$A$334, $N248:$AB248, PROGRAM_DIRECTORY!$E$2:$E$334, "Individual"))</f>
        <v>0</v>
      </c>
      <c r="K248" s="75">
        <f>SUMPRODUCT(COUNTIFS(PROGRAM_DIRECTORY!$A$2:$A$334, $N248:$AB248, PROGRAM_DIRECTORY!$E$2:$E$334, "Group"))</f>
        <v>0</v>
      </c>
      <c r="L248" s="75">
        <f t="shared" si="1"/>
        <v>0</v>
      </c>
      <c r="M248" s="75" t="str">
        <f t="shared" si="2"/>
        <v>Min 1 Required (Stage &amp; Non-Stage)</v>
      </c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AC248" s="79" t="str">
        <f t="shared" si="3"/>
        <v/>
      </c>
    </row>
    <row r="249">
      <c r="A249" s="74">
        <v>432.0</v>
      </c>
      <c r="B249" s="74" t="s">
        <v>903</v>
      </c>
      <c r="C249" s="74">
        <v>2.0</v>
      </c>
      <c r="D249" s="74" t="s">
        <v>4</v>
      </c>
      <c r="E249" s="74" t="s">
        <v>331</v>
      </c>
      <c r="F249" s="74" t="s">
        <v>622</v>
      </c>
      <c r="G249" s="75">
        <f>SUMPRODUCT(COUNTIFS(PROGRAM_DIRECTORY!$A$2:$A$334, $N249:$AB249, PROGRAM_DIRECTORY!$D$2:$D$334, "Non-Stage", PROGRAM_DIRECTORY!$E$2:$E$334, "Individual"))</f>
        <v>0</v>
      </c>
      <c r="H249" s="75">
        <f>SUMPRODUCT(COUNTIFS(PROGRAM_DIRECTORY!$A$2:$A$334, $N249:$AB249, PROGRAM_DIRECTORY!$D$2:$D$334, "Stage", PROGRAM_DIRECTORY!$E$2:$E$334, "Individual"))</f>
        <v>0</v>
      </c>
      <c r="I249" s="75">
        <f>SUMPRODUCT(COUNTIFS(PROGRAM_DIRECTORY!$A$2:$A$334, $N249:$AB249, PROGRAM_DIRECTORY!$D$2:$D$334, "Sports"))</f>
        <v>0</v>
      </c>
      <c r="J249" s="75">
        <f>SUMPRODUCT(COUNTIFS(PROGRAM_DIRECTORY!$A$2:$A$334, $N249:$AB249, PROGRAM_DIRECTORY!$E$2:$E$334, "Individual"))</f>
        <v>0</v>
      </c>
      <c r="K249" s="75">
        <f>SUMPRODUCT(COUNTIFS(PROGRAM_DIRECTORY!$A$2:$A$334, $N249:$AB249, PROGRAM_DIRECTORY!$E$2:$E$334, "Group"))</f>
        <v>0</v>
      </c>
      <c r="L249" s="75">
        <f t="shared" si="1"/>
        <v>0</v>
      </c>
      <c r="M249" s="75" t="str">
        <f t="shared" si="2"/>
        <v>Min 1 Required (Stage &amp; Non-Stage)</v>
      </c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AC249" s="79" t="str">
        <f t="shared" si="3"/>
        <v/>
      </c>
    </row>
    <row r="250">
      <c r="A250" s="74">
        <v>434.0</v>
      </c>
      <c r="B250" s="74" t="s">
        <v>904</v>
      </c>
      <c r="C250" s="74">
        <v>2.0</v>
      </c>
      <c r="D250" s="74" t="s">
        <v>4</v>
      </c>
      <c r="E250" s="74" t="s">
        <v>450</v>
      </c>
      <c r="F250" s="74" t="s">
        <v>622</v>
      </c>
      <c r="G250" s="75">
        <f>SUMPRODUCT(COUNTIFS(PROGRAM_DIRECTORY!$A$2:$A$334, $N250:$AB250, PROGRAM_DIRECTORY!$D$2:$D$334, "Non-Stage", PROGRAM_DIRECTORY!$E$2:$E$334, "Individual"))</f>
        <v>0</v>
      </c>
      <c r="H250" s="75">
        <f>SUMPRODUCT(COUNTIFS(PROGRAM_DIRECTORY!$A$2:$A$334, $N250:$AB250, PROGRAM_DIRECTORY!$D$2:$D$334, "Stage", PROGRAM_DIRECTORY!$E$2:$E$334, "Individual"))</f>
        <v>0</v>
      </c>
      <c r="I250" s="75">
        <f>SUMPRODUCT(COUNTIFS(PROGRAM_DIRECTORY!$A$2:$A$334, $N250:$AB250, PROGRAM_DIRECTORY!$D$2:$D$334, "Sports"))</f>
        <v>0</v>
      </c>
      <c r="J250" s="75">
        <f>SUMPRODUCT(COUNTIFS(PROGRAM_DIRECTORY!$A$2:$A$334, $N250:$AB250, PROGRAM_DIRECTORY!$E$2:$E$334, "Individual"))</f>
        <v>0</v>
      </c>
      <c r="K250" s="75">
        <f>SUMPRODUCT(COUNTIFS(PROGRAM_DIRECTORY!$A$2:$A$334, $N250:$AB250, PROGRAM_DIRECTORY!$E$2:$E$334, "Group"))</f>
        <v>0</v>
      </c>
      <c r="L250" s="75">
        <f t="shared" si="1"/>
        <v>0</v>
      </c>
      <c r="M250" s="75" t="str">
        <f t="shared" si="2"/>
        <v>Min 1 Required (Stage &amp; Non-Stage)</v>
      </c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AC250" s="79" t="str">
        <f t="shared" si="3"/>
        <v/>
      </c>
    </row>
    <row r="251">
      <c r="A251" s="74">
        <v>412.0</v>
      </c>
      <c r="B251" s="74" t="s">
        <v>905</v>
      </c>
      <c r="C251" s="74">
        <v>2.0</v>
      </c>
      <c r="D251" s="74" t="s">
        <v>4</v>
      </c>
      <c r="E251" s="74" t="s">
        <v>195</v>
      </c>
      <c r="F251" s="74" t="s">
        <v>622</v>
      </c>
      <c r="G251" s="75">
        <f>SUMPRODUCT(COUNTIFS(PROGRAM_DIRECTORY!$A$2:$A$334, $N251:$AB251, PROGRAM_DIRECTORY!$D$2:$D$334, "Non-Stage", PROGRAM_DIRECTORY!$E$2:$E$334, "Individual"))</f>
        <v>0</v>
      </c>
      <c r="H251" s="75">
        <f>SUMPRODUCT(COUNTIFS(PROGRAM_DIRECTORY!$A$2:$A$334, $N251:$AB251, PROGRAM_DIRECTORY!$D$2:$D$334, "Stage", PROGRAM_DIRECTORY!$E$2:$E$334, "Individual"))</f>
        <v>0</v>
      </c>
      <c r="I251" s="75">
        <f>SUMPRODUCT(COUNTIFS(PROGRAM_DIRECTORY!$A$2:$A$334, $N251:$AB251, PROGRAM_DIRECTORY!$D$2:$D$334, "Sports"))</f>
        <v>0</v>
      </c>
      <c r="J251" s="75">
        <f>SUMPRODUCT(COUNTIFS(PROGRAM_DIRECTORY!$A$2:$A$334, $N251:$AB251, PROGRAM_DIRECTORY!$E$2:$E$334, "Individual"))</f>
        <v>0</v>
      </c>
      <c r="K251" s="75">
        <f>SUMPRODUCT(COUNTIFS(PROGRAM_DIRECTORY!$A$2:$A$334, $N251:$AB251, PROGRAM_DIRECTORY!$E$2:$E$334, "Group"))</f>
        <v>0</v>
      </c>
      <c r="L251" s="75">
        <f t="shared" si="1"/>
        <v>0</v>
      </c>
      <c r="M251" s="75" t="str">
        <f t="shared" si="2"/>
        <v>Min 1 Required (Stage &amp; Non-Stage)</v>
      </c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AC251" s="79" t="str">
        <f t="shared" si="3"/>
        <v/>
      </c>
    </row>
    <row r="252">
      <c r="A252" s="74">
        <v>411.0</v>
      </c>
      <c r="B252" s="74" t="s">
        <v>906</v>
      </c>
      <c r="C252" s="74">
        <v>2.0</v>
      </c>
      <c r="D252" s="74" t="s">
        <v>4</v>
      </c>
      <c r="E252" s="74" t="s">
        <v>195</v>
      </c>
      <c r="F252" s="74" t="s">
        <v>622</v>
      </c>
      <c r="G252" s="75">
        <f>SUMPRODUCT(COUNTIFS(PROGRAM_DIRECTORY!$A$2:$A$334, $N252:$AB252, PROGRAM_DIRECTORY!$D$2:$D$334, "Non-Stage", PROGRAM_DIRECTORY!$E$2:$E$334, "Individual"))</f>
        <v>0</v>
      </c>
      <c r="H252" s="75">
        <f>SUMPRODUCT(COUNTIFS(PROGRAM_DIRECTORY!$A$2:$A$334, $N252:$AB252, PROGRAM_DIRECTORY!$D$2:$D$334, "Stage", PROGRAM_DIRECTORY!$E$2:$E$334, "Individual"))</f>
        <v>0</v>
      </c>
      <c r="I252" s="75">
        <f>SUMPRODUCT(COUNTIFS(PROGRAM_DIRECTORY!$A$2:$A$334, $N252:$AB252, PROGRAM_DIRECTORY!$D$2:$D$334, "Sports"))</f>
        <v>0</v>
      </c>
      <c r="J252" s="75">
        <f>SUMPRODUCT(COUNTIFS(PROGRAM_DIRECTORY!$A$2:$A$334, $N252:$AB252, PROGRAM_DIRECTORY!$E$2:$E$334, "Individual"))</f>
        <v>0</v>
      </c>
      <c r="K252" s="75">
        <f>SUMPRODUCT(COUNTIFS(PROGRAM_DIRECTORY!$A$2:$A$334, $N252:$AB252, PROGRAM_DIRECTORY!$E$2:$E$334, "Group"))</f>
        <v>0</v>
      </c>
      <c r="L252" s="75">
        <f t="shared" si="1"/>
        <v>0</v>
      </c>
      <c r="M252" s="75" t="str">
        <f t="shared" si="2"/>
        <v>Min 1 Required (Stage &amp; Non-Stage)</v>
      </c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AC252" s="79" t="str">
        <f t="shared" si="3"/>
        <v/>
      </c>
    </row>
    <row r="253">
      <c r="A253" s="74">
        <v>407.0</v>
      </c>
      <c r="B253" s="74" t="s">
        <v>907</v>
      </c>
      <c r="C253" s="74">
        <v>2.0</v>
      </c>
      <c r="D253" s="74" t="s">
        <v>4</v>
      </c>
      <c r="E253" s="74" t="s">
        <v>380</v>
      </c>
      <c r="F253" s="74" t="s">
        <v>622</v>
      </c>
      <c r="G253" s="75">
        <f>SUMPRODUCT(COUNTIFS(PROGRAM_DIRECTORY!$A$2:$A$334, $N253:$AB253, PROGRAM_DIRECTORY!$D$2:$D$334, "Non-Stage", PROGRAM_DIRECTORY!$E$2:$E$334, "Individual"))</f>
        <v>0</v>
      </c>
      <c r="H253" s="75">
        <f>SUMPRODUCT(COUNTIFS(PROGRAM_DIRECTORY!$A$2:$A$334, $N253:$AB253, PROGRAM_DIRECTORY!$D$2:$D$334, "Stage", PROGRAM_DIRECTORY!$E$2:$E$334, "Individual"))</f>
        <v>0</v>
      </c>
      <c r="I253" s="75">
        <f>SUMPRODUCT(COUNTIFS(PROGRAM_DIRECTORY!$A$2:$A$334, $N253:$AB253, PROGRAM_DIRECTORY!$D$2:$D$334, "Sports"))</f>
        <v>0</v>
      </c>
      <c r="J253" s="75">
        <f>SUMPRODUCT(COUNTIFS(PROGRAM_DIRECTORY!$A$2:$A$334, $N253:$AB253, PROGRAM_DIRECTORY!$E$2:$E$334, "Individual"))</f>
        <v>0</v>
      </c>
      <c r="K253" s="75">
        <f>SUMPRODUCT(COUNTIFS(PROGRAM_DIRECTORY!$A$2:$A$334, $N253:$AB253, PROGRAM_DIRECTORY!$E$2:$E$334, "Group"))</f>
        <v>0</v>
      </c>
      <c r="L253" s="75">
        <f t="shared" si="1"/>
        <v>0</v>
      </c>
      <c r="M253" s="75" t="str">
        <f t="shared" si="2"/>
        <v>Min 1 Required (Stage &amp; Non-Stage)</v>
      </c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AC253" s="79" t="str">
        <f t="shared" si="3"/>
        <v/>
      </c>
    </row>
    <row r="254">
      <c r="A254" s="74">
        <v>427.0</v>
      </c>
      <c r="B254" s="74" t="s">
        <v>908</v>
      </c>
      <c r="C254" s="74">
        <v>2.0</v>
      </c>
      <c r="D254" s="74" t="s">
        <v>4</v>
      </c>
      <c r="E254" s="74" t="s">
        <v>450</v>
      </c>
      <c r="F254" s="74" t="s">
        <v>622</v>
      </c>
      <c r="G254" s="75">
        <f>SUMPRODUCT(COUNTIFS(PROGRAM_DIRECTORY!$A$2:$A$334, $N254:$AB254, PROGRAM_DIRECTORY!$D$2:$D$334, "Non-Stage", PROGRAM_DIRECTORY!$E$2:$E$334, "Individual"))</f>
        <v>0</v>
      </c>
      <c r="H254" s="75">
        <f>SUMPRODUCT(COUNTIFS(PROGRAM_DIRECTORY!$A$2:$A$334, $N254:$AB254, PROGRAM_DIRECTORY!$D$2:$D$334, "Stage", PROGRAM_DIRECTORY!$E$2:$E$334, "Individual"))</f>
        <v>0</v>
      </c>
      <c r="I254" s="75">
        <f>SUMPRODUCT(COUNTIFS(PROGRAM_DIRECTORY!$A$2:$A$334, $N254:$AB254, PROGRAM_DIRECTORY!$D$2:$D$334, "Sports"))</f>
        <v>0</v>
      </c>
      <c r="J254" s="75">
        <f>SUMPRODUCT(COUNTIFS(PROGRAM_DIRECTORY!$A$2:$A$334, $N254:$AB254, PROGRAM_DIRECTORY!$E$2:$E$334, "Individual"))</f>
        <v>0</v>
      </c>
      <c r="K254" s="75">
        <f>SUMPRODUCT(COUNTIFS(PROGRAM_DIRECTORY!$A$2:$A$334, $N254:$AB254, PROGRAM_DIRECTORY!$E$2:$E$334, "Group"))</f>
        <v>0</v>
      </c>
      <c r="L254" s="75">
        <f t="shared" si="1"/>
        <v>0</v>
      </c>
      <c r="M254" s="75" t="str">
        <f t="shared" si="2"/>
        <v>Min 1 Required (Stage &amp; Non-Stage)</v>
      </c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AC254" s="79" t="str">
        <f t="shared" si="3"/>
        <v/>
      </c>
    </row>
    <row r="255">
      <c r="A255" s="74">
        <v>424.0</v>
      </c>
      <c r="B255" s="74" t="s">
        <v>909</v>
      </c>
      <c r="C255" s="74">
        <v>2.0</v>
      </c>
      <c r="D255" s="74" t="s">
        <v>4</v>
      </c>
      <c r="E255" s="74" t="s">
        <v>331</v>
      </c>
      <c r="F255" s="74" t="s">
        <v>622</v>
      </c>
      <c r="G255" s="75">
        <f>SUMPRODUCT(COUNTIFS(PROGRAM_DIRECTORY!$A$2:$A$334, $N255:$AB255, PROGRAM_DIRECTORY!$D$2:$D$334, "Non-Stage", PROGRAM_DIRECTORY!$E$2:$E$334, "Individual"))</f>
        <v>0</v>
      </c>
      <c r="H255" s="75">
        <f>SUMPRODUCT(COUNTIFS(PROGRAM_DIRECTORY!$A$2:$A$334, $N255:$AB255, PROGRAM_DIRECTORY!$D$2:$D$334, "Stage", PROGRAM_DIRECTORY!$E$2:$E$334, "Individual"))</f>
        <v>0</v>
      </c>
      <c r="I255" s="75">
        <f>SUMPRODUCT(COUNTIFS(PROGRAM_DIRECTORY!$A$2:$A$334, $N255:$AB255, PROGRAM_DIRECTORY!$D$2:$D$334, "Sports"))</f>
        <v>0</v>
      </c>
      <c r="J255" s="75">
        <f>SUMPRODUCT(COUNTIFS(PROGRAM_DIRECTORY!$A$2:$A$334, $N255:$AB255, PROGRAM_DIRECTORY!$E$2:$E$334, "Individual"))</f>
        <v>0</v>
      </c>
      <c r="K255" s="75">
        <f>SUMPRODUCT(COUNTIFS(PROGRAM_DIRECTORY!$A$2:$A$334, $N255:$AB255, PROGRAM_DIRECTORY!$E$2:$E$334, "Group"))</f>
        <v>0</v>
      </c>
      <c r="L255" s="75">
        <f t="shared" si="1"/>
        <v>0</v>
      </c>
      <c r="M255" s="75" t="str">
        <f t="shared" si="2"/>
        <v>Min 1 Required (Stage &amp; Non-Stage)</v>
      </c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AC255" s="79" t="str">
        <f t="shared" si="3"/>
        <v/>
      </c>
    </row>
    <row r="256">
      <c r="A256" s="74">
        <v>367.0</v>
      </c>
      <c r="B256" s="74" t="s">
        <v>910</v>
      </c>
      <c r="C256" s="74">
        <v>2.0</v>
      </c>
      <c r="D256" s="74" t="s">
        <v>4</v>
      </c>
      <c r="E256" s="74" t="s">
        <v>380</v>
      </c>
      <c r="F256" s="74" t="s">
        <v>622</v>
      </c>
      <c r="G256" s="75">
        <f>SUMPRODUCT(COUNTIFS(PROGRAM_DIRECTORY!$A$2:$A$334, $N256:$AB256, PROGRAM_DIRECTORY!$D$2:$D$334, "Non-Stage", PROGRAM_DIRECTORY!$E$2:$E$334, "Individual"))</f>
        <v>0</v>
      </c>
      <c r="H256" s="75">
        <f>SUMPRODUCT(COUNTIFS(PROGRAM_DIRECTORY!$A$2:$A$334, $N256:$AB256, PROGRAM_DIRECTORY!$D$2:$D$334, "Stage", PROGRAM_DIRECTORY!$E$2:$E$334, "Individual"))</f>
        <v>0</v>
      </c>
      <c r="I256" s="75">
        <f>SUMPRODUCT(COUNTIFS(PROGRAM_DIRECTORY!$A$2:$A$334, $N256:$AB256, PROGRAM_DIRECTORY!$D$2:$D$334, "Sports"))</f>
        <v>0</v>
      </c>
      <c r="J256" s="75">
        <f>SUMPRODUCT(COUNTIFS(PROGRAM_DIRECTORY!$A$2:$A$334, $N256:$AB256, PROGRAM_DIRECTORY!$E$2:$E$334, "Individual"))</f>
        <v>0</v>
      </c>
      <c r="K256" s="75">
        <f>SUMPRODUCT(COUNTIFS(PROGRAM_DIRECTORY!$A$2:$A$334, $N256:$AB256, PROGRAM_DIRECTORY!$E$2:$E$334, "Group"))</f>
        <v>0</v>
      </c>
      <c r="L256" s="75">
        <f t="shared" si="1"/>
        <v>0</v>
      </c>
      <c r="M256" s="75" t="str">
        <f t="shared" si="2"/>
        <v>Min 1 Required (Stage &amp; Non-Stage)</v>
      </c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AC256" s="79" t="str">
        <f t="shared" si="3"/>
        <v/>
      </c>
    </row>
    <row r="257">
      <c r="A257" s="74">
        <v>417.0</v>
      </c>
      <c r="B257" s="74" t="s">
        <v>911</v>
      </c>
      <c r="C257" s="74">
        <v>2.0</v>
      </c>
      <c r="D257" s="74" t="s">
        <v>4</v>
      </c>
      <c r="E257" s="74" t="s">
        <v>450</v>
      </c>
      <c r="F257" s="74" t="s">
        <v>622</v>
      </c>
      <c r="G257" s="75">
        <f>SUMPRODUCT(COUNTIFS(PROGRAM_DIRECTORY!$A$2:$A$334, $N257:$AB257, PROGRAM_DIRECTORY!$D$2:$D$334, "Non-Stage", PROGRAM_DIRECTORY!$E$2:$E$334, "Individual"))</f>
        <v>0</v>
      </c>
      <c r="H257" s="75">
        <f>SUMPRODUCT(COUNTIFS(PROGRAM_DIRECTORY!$A$2:$A$334, $N257:$AB257, PROGRAM_DIRECTORY!$D$2:$D$334, "Stage", PROGRAM_DIRECTORY!$E$2:$E$334, "Individual"))</f>
        <v>0</v>
      </c>
      <c r="I257" s="75">
        <f>SUMPRODUCT(COUNTIFS(PROGRAM_DIRECTORY!$A$2:$A$334, $N257:$AB257, PROGRAM_DIRECTORY!$D$2:$D$334, "Sports"))</f>
        <v>0</v>
      </c>
      <c r="J257" s="75">
        <f>SUMPRODUCT(COUNTIFS(PROGRAM_DIRECTORY!$A$2:$A$334, $N257:$AB257, PROGRAM_DIRECTORY!$E$2:$E$334, "Individual"))</f>
        <v>0</v>
      </c>
      <c r="K257" s="75">
        <f>SUMPRODUCT(COUNTIFS(PROGRAM_DIRECTORY!$A$2:$A$334, $N257:$AB257, PROGRAM_DIRECTORY!$E$2:$E$334, "Group"))</f>
        <v>0</v>
      </c>
      <c r="L257" s="75">
        <f t="shared" si="1"/>
        <v>0</v>
      </c>
      <c r="M257" s="75" t="str">
        <f t="shared" si="2"/>
        <v>Min 1 Required (Stage &amp; Non-Stage)</v>
      </c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AC257" s="79" t="str">
        <f t="shared" si="3"/>
        <v/>
      </c>
    </row>
    <row r="258">
      <c r="A258" s="74">
        <v>433.0</v>
      </c>
      <c r="B258" s="74" t="s">
        <v>912</v>
      </c>
      <c r="C258" s="74">
        <v>2.0</v>
      </c>
      <c r="D258" s="74" t="s">
        <v>4</v>
      </c>
      <c r="E258" s="74" t="s">
        <v>380</v>
      </c>
      <c r="F258" s="74" t="s">
        <v>622</v>
      </c>
      <c r="G258" s="75">
        <f>SUMPRODUCT(COUNTIFS(PROGRAM_DIRECTORY!$A$2:$A$334, $N258:$AB258, PROGRAM_DIRECTORY!$D$2:$D$334, "Non-Stage", PROGRAM_DIRECTORY!$E$2:$E$334, "Individual"))</f>
        <v>0</v>
      </c>
      <c r="H258" s="75">
        <f>SUMPRODUCT(COUNTIFS(PROGRAM_DIRECTORY!$A$2:$A$334, $N258:$AB258, PROGRAM_DIRECTORY!$D$2:$D$334, "Stage", PROGRAM_DIRECTORY!$E$2:$E$334, "Individual"))</f>
        <v>0</v>
      </c>
      <c r="I258" s="75">
        <f>SUMPRODUCT(COUNTIFS(PROGRAM_DIRECTORY!$A$2:$A$334, $N258:$AB258, PROGRAM_DIRECTORY!$D$2:$D$334, "Sports"))</f>
        <v>0</v>
      </c>
      <c r="J258" s="75">
        <f>SUMPRODUCT(COUNTIFS(PROGRAM_DIRECTORY!$A$2:$A$334, $N258:$AB258, PROGRAM_DIRECTORY!$E$2:$E$334, "Individual"))</f>
        <v>0</v>
      </c>
      <c r="K258" s="75">
        <f>SUMPRODUCT(COUNTIFS(PROGRAM_DIRECTORY!$A$2:$A$334, $N258:$AB258, PROGRAM_DIRECTORY!$E$2:$E$334, "Group"))</f>
        <v>0</v>
      </c>
      <c r="L258" s="75">
        <f t="shared" si="1"/>
        <v>0</v>
      </c>
      <c r="M258" s="75" t="str">
        <f t="shared" si="2"/>
        <v>Min 1 Required (Stage &amp; Non-Stage)</v>
      </c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AC258" s="79" t="str">
        <f t="shared" si="3"/>
        <v/>
      </c>
    </row>
    <row r="259">
      <c r="A259" s="74">
        <v>423.0</v>
      </c>
      <c r="B259" s="74" t="s">
        <v>913</v>
      </c>
      <c r="C259" s="74">
        <v>2.0</v>
      </c>
      <c r="D259" s="74" t="s">
        <v>4</v>
      </c>
      <c r="E259" s="74" t="s">
        <v>380</v>
      </c>
      <c r="F259" s="74" t="s">
        <v>622</v>
      </c>
      <c r="G259" s="75">
        <f>SUMPRODUCT(COUNTIFS(PROGRAM_DIRECTORY!$A$2:$A$334, $N259:$AB259, PROGRAM_DIRECTORY!$D$2:$D$334, "Non-Stage", PROGRAM_DIRECTORY!$E$2:$E$334, "Individual"))</f>
        <v>0</v>
      </c>
      <c r="H259" s="75">
        <f>SUMPRODUCT(COUNTIFS(PROGRAM_DIRECTORY!$A$2:$A$334, $N259:$AB259, PROGRAM_DIRECTORY!$D$2:$D$334, "Stage", PROGRAM_DIRECTORY!$E$2:$E$334, "Individual"))</f>
        <v>0</v>
      </c>
      <c r="I259" s="75">
        <f>SUMPRODUCT(COUNTIFS(PROGRAM_DIRECTORY!$A$2:$A$334, $N259:$AB259, PROGRAM_DIRECTORY!$D$2:$D$334, "Sports"))</f>
        <v>0</v>
      </c>
      <c r="J259" s="75">
        <f>SUMPRODUCT(COUNTIFS(PROGRAM_DIRECTORY!$A$2:$A$334, $N259:$AB259, PROGRAM_DIRECTORY!$E$2:$E$334, "Individual"))</f>
        <v>0</v>
      </c>
      <c r="K259" s="75">
        <f>SUMPRODUCT(COUNTIFS(PROGRAM_DIRECTORY!$A$2:$A$334, $N259:$AB259, PROGRAM_DIRECTORY!$E$2:$E$334, "Group"))</f>
        <v>0</v>
      </c>
      <c r="L259" s="75">
        <f t="shared" si="1"/>
        <v>0</v>
      </c>
      <c r="M259" s="75" t="str">
        <f t="shared" si="2"/>
        <v>Min 1 Required (Stage &amp; Non-Stage)</v>
      </c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AC259" s="79" t="str">
        <f t="shared" si="3"/>
        <v/>
      </c>
    </row>
    <row r="260">
      <c r="A260" s="74">
        <v>426.0</v>
      </c>
      <c r="B260" s="74" t="s">
        <v>914</v>
      </c>
      <c r="C260" s="74">
        <v>2.0</v>
      </c>
      <c r="D260" s="74" t="s">
        <v>4</v>
      </c>
      <c r="E260" s="74" t="s">
        <v>380</v>
      </c>
      <c r="F260" s="74" t="s">
        <v>622</v>
      </c>
      <c r="G260" s="75">
        <f>SUMPRODUCT(COUNTIFS(PROGRAM_DIRECTORY!$A$2:$A$334, $N260:$AB260, PROGRAM_DIRECTORY!$D$2:$D$334, "Non-Stage", PROGRAM_DIRECTORY!$E$2:$E$334, "Individual"))</f>
        <v>0</v>
      </c>
      <c r="H260" s="75">
        <f>SUMPRODUCT(COUNTIFS(PROGRAM_DIRECTORY!$A$2:$A$334, $N260:$AB260, PROGRAM_DIRECTORY!$D$2:$D$334, "Stage", PROGRAM_DIRECTORY!$E$2:$E$334, "Individual"))</f>
        <v>0</v>
      </c>
      <c r="I260" s="75">
        <f>SUMPRODUCT(COUNTIFS(PROGRAM_DIRECTORY!$A$2:$A$334, $N260:$AB260, PROGRAM_DIRECTORY!$D$2:$D$334, "Sports"))</f>
        <v>0</v>
      </c>
      <c r="J260" s="75">
        <f>SUMPRODUCT(COUNTIFS(PROGRAM_DIRECTORY!$A$2:$A$334, $N260:$AB260, PROGRAM_DIRECTORY!$E$2:$E$334, "Individual"))</f>
        <v>0</v>
      </c>
      <c r="K260" s="75">
        <f>SUMPRODUCT(COUNTIFS(PROGRAM_DIRECTORY!$A$2:$A$334, $N260:$AB260, PROGRAM_DIRECTORY!$E$2:$E$334, "Group"))</f>
        <v>0</v>
      </c>
      <c r="L260" s="75">
        <f t="shared" si="1"/>
        <v>0</v>
      </c>
      <c r="M260" s="75" t="str">
        <f t="shared" si="2"/>
        <v>Min 1 Required (Stage &amp; Non-Stage)</v>
      </c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AC260" s="79" t="str">
        <f t="shared" si="3"/>
        <v/>
      </c>
    </row>
    <row r="261">
      <c r="A261" s="74">
        <v>418.0</v>
      </c>
      <c r="B261" s="74" t="s">
        <v>915</v>
      </c>
      <c r="C261" s="74">
        <v>2.0</v>
      </c>
      <c r="D261" s="74" t="s">
        <v>4</v>
      </c>
      <c r="E261" s="74" t="s">
        <v>450</v>
      </c>
      <c r="F261" s="74" t="s">
        <v>622</v>
      </c>
      <c r="G261" s="75">
        <f>SUMPRODUCT(COUNTIFS(PROGRAM_DIRECTORY!$A$2:$A$334, $N261:$AB261, PROGRAM_DIRECTORY!$D$2:$D$334, "Non-Stage", PROGRAM_DIRECTORY!$E$2:$E$334, "Individual"))</f>
        <v>0</v>
      </c>
      <c r="H261" s="75">
        <f>SUMPRODUCT(COUNTIFS(PROGRAM_DIRECTORY!$A$2:$A$334, $N261:$AB261, PROGRAM_DIRECTORY!$D$2:$D$334, "Stage", PROGRAM_DIRECTORY!$E$2:$E$334, "Individual"))</f>
        <v>0</v>
      </c>
      <c r="I261" s="75">
        <f>SUMPRODUCT(COUNTIFS(PROGRAM_DIRECTORY!$A$2:$A$334, $N261:$AB261, PROGRAM_DIRECTORY!$D$2:$D$334, "Sports"))</f>
        <v>0</v>
      </c>
      <c r="J261" s="75">
        <f>SUMPRODUCT(COUNTIFS(PROGRAM_DIRECTORY!$A$2:$A$334, $N261:$AB261, PROGRAM_DIRECTORY!$E$2:$E$334, "Individual"))</f>
        <v>0</v>
      </c>
      <c r="K261" s="75">
        <f>SUMPRODUCT(COUNTIFS(PROGRAM_DIRECTORY!$A$2:$A$334, $N261:$AB261, PROGRAM_DIRECTORY!$E$2:$E$334, "Group"))</f>
        <v>0</v>
      </c>
      <c r="L261" s="75">
        <f t="shared" si="1"/>
        <v>0</v>
      </c>
      <c r="M261" s="75" t="str">
        <f t="shared" si="2"/>
        <v>Min 1 Required (Stage &amp; Non-Stage)</v>
      </c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AC261" s="79" t="str">
        <f t="shared" si="3"/>
        <v/>
      </c>
    </row>
    <row r="262">
      <c r="A262" s="74">
        <v>425.0</v>
      </c>
      <c r="B262" s="74" t="s">
        <v>916</v>
      </c>
      <c r="C262" s="74">
        <v>2.0</v>
      </c>
      <c r="D262" s="74" t="s">
        <v>4</v>
      </c>
      <c r="E262" s="74" t="s">
        <v>450</v>
      </c>
      <c r="F262" s="74" t="s">
        <v>622</v>
      </c>
      <c r="G262" s="75">
        <f>SUMPRODUCT(COUNTIFS(PROGRAM_DIRECTORY!$A$2:$A$334, $N262:$AB262, PROGRAM_DIRECTORY!$D$2:$D$334, "Non-Stage", PROGRAM_DIRECTORY!$E$2:$E$334, "Individual"))</f>
        <v>0</v>
      </c>
      <c r="H262" s="75">
        <f>SUMPRODUCT(COUNTIFS(PROGRAM_DIRECTORY!$A$2:$A$334, $N262:$AB262, PROGRAM_DIRECTORY!$D$2:$D$334, "Stage", PROGRAM_DIRECTORY!$E$2:$E$334, "Individual"))</f>
        <v>0</v>
      </c>
      <c r="I262" s="75">
        <f>SUMPRODUCT(COUNTIFS(PROGRAM_DIRECTORY!$A$2:$A$334, $N262:$AB262, PROGRAM_DIRECTORY!$D$2:$D$334, "Sports"))</f>
        <v>0</v>
      </c>
      <c r="J262" s="75">
        <f>SUMPRODUCT(COUNTIFS(PROGRAM_DIRECTORY!$A$2:$A$334, $N262:$AB262, PROGRAM_DIRECTORY!$E$2:$E$334, "Individual"))</f>
        <v>0</v>
      </c>
      <c r="K262" s="75">
        <f>SUMPRODUCT(COUNTIFS(PROGRAM_DIRECTORY!$A$2:$A$334, $N262:$AB262, PROGRAM_DIRECTORY!$E$2:$E$334, "Group"))</f>
        <v>0</v>
      </c>
      <c r="L262" s="75">
        <f t="shared" si="1"/>
        <v>0</v>
      </c>
      <c r="M262" s="75" t="str">
        <f t="shared" si="2"/>
        <v>Min 1 Required (Stage &amp; Non-Stage)</v>
      </c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AC262" s="79" t="str">
        <f t="shared" si="3"/>
        <v/>
      </c>
    </row>
    <row r="263">
      <c r="A263" s="74">
        <v>429.0</v>
      </c>
      <c r="B263" s="74" t="s">
        <v>917</v>
      </c>
      <c r="C263" s="74">
        <v>2.0</v>
      </c>
      <c r="D263" s="74" t="s">
        <v>4</v>
      </c>
      <c r="E263" s="74" t="s">
        <v>450</v>
      </c>
      <c r="F263" s="74" t="s">
        <v>622</v>
      </c>
      <c r="G263" s="75">
        <f>SUMPRODUCT(COUNTIFS(PROGRAM_DIRECTORY!$A$2:$A$334, $N263:$AB263, PROGRAM_DIRECTORY!$D$2:$D$334, "Non-Stage", PROGRAM_DIRECTORY!$E$2:$E$334, "Individual"))</f>
        <v>0</v>
      </c>
      <c r="H263" s="75">
        <f>SUMPRODUCT(COUNTIFS(PROGRAM_DIRECTORY!$A$2:$A$334, $N263:$AB263, PROGRAM_DIRECTORY!$D$2:$D$334, "Stage", PROGRAM_DIRECTORY!$E$2:$E$334, "Individual"))</f>
        <v>0</v>
      </c>
      <c r="I263" s="75">
        <f>SUMPRODUCT(COUNTIFS(PROGRAM_DIRECTORY!$A$2:$A$334, $N263:$AB263, PROGRAM_DIRECTORY!$D$2:$D$334, "Sports"))</f>
        <v>0</v>
      </c>
      <c r="J263" s="75">
        <f>SUMPRODUCT(COUNTIFS(PROGRAM_DIRECTORY!$A$2:$A$334, $N263:$AB263, PROGRAM_DIRECTORY!$E$2:$E$334, "Individual"))</f>
        <v>0</v>
      </c>
      <c r="K263" s="75">
        <f>SUMPRODUCT(COUNTIFS(PROGRAM_DIRECTORY!$A$2:$A$334, $N263:$AB263, PROGRAM_DIRECTORY!$E$2:$E$334, "Group"))</f>
        <v>0</v>
      </c>
      <c r="L263" s="75">
        <f t="shared" si="1"/>
        <v>0</v>
      </c>
      <c r="M263" s="75" t="str">
        <f t="shared" si="2"/>
        <v>Min 1 Required (Stage &amp; Non-Stage)</v>
      </c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AC263" s="79" t="str">
        <f t="shared" si="3"/>
        <v/>
      </c>
    </row>
    <row r="264">
      <c r="A264" s="74">
        <v>430.0</v>
      </c>
      <c r="B264" s="74" t="s">
        <v>918</v>
      </c>
      <c r="C264" s="74">
        <v>2.0</v>
      </c>
      <c r="D264" s="74" t="s">
        <v>4</v>
      </c>
      <c r="E264" s="74" t="s">
        <v>331</v>
      </c>
      <c r="F264" s="74" t="s">
        <v>622</v>
      </c>
      <c r="G264" s="75">
        <f>SUMPRODUCT(COUNTIFS(PROGRAM_DIRECTORY!$A$2:$A$334, $N264:$AB264, PROGRAM_DIRECTORY!$D$2:$D$334, "Non-Stage", PROGRAM_DIRECTORY!$E$2:$E$334, "Individual"))</f>
        <v>0</v>
      </c>
      <c r="H264" s="75">
        <f>SUMPRODUCT(COUNTIFS(PROGRAM_DIRECTORY!$A$2:$A$334, $N264:$AB264, PROGRAM_DIRECTORY!$D$2:$D$334, "Stage", PROGRAM_DIRECTORY!$E$2:$E$334, "Individual"))</f>
        <v>0</v>
      </c>
      <c r="I264" s="75">
        <f>SUMPRODUCT(COUNTIFS(PROGRAM_DIRECTORY!$A$2:$A$334, $N264:$AB264, PROGRAM_DIRECTORY!$D$2:$D$334, "Sports"))</f>
        <v>0</v>
      </c>
      <c r="J264" s="75">
        <f>SUMPRODUCT(COUNTIFS(PROGRAM_DIRECTORY!$A$2:$A$334, $N264:$AB264, PROGRAM_DIRECTORY!$E$2:$E$334, "Individual"))</f>
        <v>0</v>
      </c>
      <c r="K264" s="75">
        <f>SUMPRODUCT(COUNTIFS(PROGRAM_DIRECTORY!$A$2:$A$334, $N264:$AB264, PROGRAM_DIRECTORY!$E$2:$E$334, "Group"))</f>
        <v>0</v>
      </c>
      <c r="L264" s="75">
        <f t="shared" si="1"/>
        <v>0</v>
      </c>
      <c r="M264" s="75" t="str">
        <f t="shared" si="2"/>
        <v>Min 1 Required (Stage &amp; Non-Stage)</v>
      </c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AC264" s="79" t="str">
        <f t="shared" si="3"/>
        <v/>
      </c>
    </row>
    <row r="265">
      <c r="A265" s="74">
        <v>451.0</v>
      </c>
      <c r="B265" s="74" t="s">
        <v>919</v>
      </c>
      <c r="C265" s="74">
        <v>2.0</v>
      </c>
      <c r="D265" s="74" t="s">
        <v>4</v>
      </c>
      <c r="E265" s="74" t="s">
        <v>331</v>
      </c>
      <c r="F265" s="74" t="s">
        <v>622</v>
      </c>
      <c r="G265" s="75">
        <f>SUMPRODUCT(COUNTIFS(PROGRAM_DIRECTORY!$A$2:$A$334, $N265:$AB265, PROGRAM_DIRECTORY!$D$2:$D$334, "Non-Stage", PROGRAM_DIRECTORY!$E$2:$E$334, "Individual"))</f>
        <v>0</v>
      </c>
      <c r="H265" s="75">
        <f>SUMPRODUCT(COUNTIFS(PROGRAM_DIRECTORY!$A$2:$A$334, $N265:$AB265, PROGRAM_DIRECTORY!$D$2:$D$334, "Stage", PROGRAM_DIRECTORY!$E$2:$E$334, "Individual"))</f>
        <v>0</v>
      </c>
      <c r="I265" s="75">
        <f>SUMPRODUCT(COUNTIFS(PROGRAM_DIRECTORY!$A$2:$A$334, $N265:$AB265, PROGRAM_DIRECTORY!$D$2:$D$334, "Sports"))</f>
        <v>0</v>
      </c>
      <c r="J265" s="75">
        <f>SUMPRODUCT(COUNTIFS(PROGRAM_DIRECTORY!$A$2:$A$334, $N265:$AB265, PROGRAM_DIRECTORY!$E$2:$E$334, "Individual"))</f>
        <v>0</v>
      </c>
      <c r="K265" s="75">
        <f>SUMPRODUCT(COUNTIFS(PROGRAM_DIRECTORY!$A$2:$A$334, $N265:$AB265, PROGRAM_DIRECTORY!$E$2:$E$334, "Group"))</f>
        <v>0</v>
      </c>
      <c r="L265" s="75">
        <f t="shared" si="1"/>
        <v>0</v>
      </c>
      <c r="M265" s="75" t="str">
        <f t="shared" si="2"/>
        <v>Min 1 Required (Stage &amp; Non-Stage)</v>
      </c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AC265" s="79" t="str">
        <f t="shared" si="3"/>
        <v/>
      </c>
    </row>
    <row r="266">
      <c r="A266" s="74">
        <v>459.0</v>
      </c>
      <c r="B266" s="74" t="s">
        <v>920</v>
      </c>
      <c r="C266" s="74">
        <v>1.0</v>
      </c>
      <c r="D266" s="74" t="s">
        <v>2</v>
      </c>
      <c r="E266" s="74" t="s">
        <v>380</v>
      </c>
      <c r="F266" s="74" t="s">
        <v>622</v>
      </c>
      <c r="G266" s="75">
        <f>SUMPRODUCT(COUNTIFS(PROGRAM_DIRECTORY!$A$2:$A$334, $N266:$AB266, PROGRAM_DIRECTORY!$D$2:$D$334, "Non-Stage", PROGRAM_DIRECTORY!$E$2:$E$334, "Individual"))</f>
        <v>0</v>
      </c>
      <c r="H266" s="75">
        <f>SUMPRODUCT(COUNTIFS(PROGRAM_DIRECTORY!$A$2:$A$334, $N266:$AB266, PROGRAM_DIRECTORY!$D$2:$D$334, "Stage", PROGRAM_DIRECTORY!$E$2:$E$334, "Individual"))</f>
        <v>0</v>
      </c>
      <c r="I266" s="75">
        <f>SUMPRODUCT(COUNTIFS(PROGRAM_DIRECTORY!$A$2:$A$334, $N266:$AB266, PROGRAM_DIRECTORY!$D$2:$D$334, "Sports"))</f>
        <v>0</v>
      </c>
      <c r="J266" s="75">
        <f>SUMPRODUCT(COUNTIFS(PROGRAM_DIRECTORY!$A$2:$A$334, $N266:$AB266, PROGRAM_DIRECTORY!$E$2:$E$334, "Individual"))</f>
        <v>0</v>
      </c>
      <c r="K266" s="75">
        <f>SUMPRODUCT(COUNTIFS(PROGRAM_DIRECTORY!$A$2:$A$334, $N266:$AB266, PROGRAM_DIRECTORY!$E$2:$E$334, "Group"))</f>
        <v>0</v>
      </c>
      <c r="L266" s="75">
        <f t="shared" si="1"/>
        <v>0</v>
      </c>
      <c r="M266" s="75" t="str">
        <f t="shared" si="2"/>
        <v>Min 1 Required (Stage &amp; Non-Stage)</v>
      </c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AC266" s="79" t="str">
        <f t="shared" si="3"/>
        <v/>
      </c>
    </row>
    <row r="267">
      <c r="A267" s="74">
        <v>460.0</v>
      </c>
      <c r="B267" s="74" t="s">
        <v>921</v>
      </c>
      <c r="C267" s="74">
        <v>1.0</v>
      </c>
      <c r="D267" s="74" t="s">
        <v>2</v>
      </c>
      <c r="E267" s="74" t="s">
        <v>331</v>
      </c>
      <c r="F267" s="74" t="s">
        <v>622</v>
      </c>
      <c r="G267" s="75">
        <f>SUMPRODUCT(COUNTIFS(PROGRAM_DIRECTORY!$A$2:$A$334, $N267:$AB267, PROGRAM_DIRECTORY!$D$2:$D$334, "Non-Stage", PROGRAM_DIRECTORY!$E$2:$E$334, "Individual"))</f>
        <v>0</v>
      </c>
      <c r="H267" s="75">
        <f>SUMPRODUCT(COUNTIFS(PROGRAM_DIRECTORY!$A$2:$A$334, $N267:$AB267, PROGRAM_DIRECTORY!$D$2:$D$334, "Stage", PROGRAM_DIRECTORY!$E$2:$E$334, "Individual"))</f>
        <v>0</v>
      </c>
      <c r="I267" s="75">
        <f>SUMPRODUCT(COUNTIFS(PROGRAM_DIRECTORY!$A$2:$A$334, $N267:$AB267, PROGRAM_DIRECTORY!$D$2:$D$334, "Sports"))</f>
        <v>0</v>
      </c>
      <c r="J267" s="75">
        <f>SUMPRODUCT(COUNTIFS(PROGRAM_DIRECTORY!$A$2:$A$334, $N267:$AB267, PROGRAM_DIRECTORY!$E$2:$E$334, "Individual"))</f>
        <v>0</v>
      </c>
      <c r="K267" s="75">
        <f>SUMPRODUCT(COUNTIFS(PROGRAM_DIRECTORY!$A$2:$A$334, $N267:$AB267, PROGRAM_DIRECTORY!$E$2:$E$334, "Group"))</f>
        <v>0</v>
      </c>
      <c r="L267" s="75">
        <f t="shared" si="1"/>
        <v>0</v>
      </c>
      <c r="M267" s="75" t="str">
        <f t="shared" si="2"/>
        <v>Min 1 Required (Stage &amp; Non-Stage)</v>
      </c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AC267" s="79" t="str">
        <f t="shared" si="3"/>
        <v/>
      </c>
    </row>
    <row r="268">
      <c r="A268" s="74">
        <v>461.0</v>
      </c>
      <c r="B268" s="74" t="s">
        <v>922</v>
      </c>
      <c r="C268" s="74">
        <v>1.0</v>
      </c>
      <c r="D268" s="74" t="s">
        <v>2</v>
      </c>
      <c r="E268" s="74" t="s">
        <v>331</v>
      </c>
      <c r="F268" s="74" t="s">
        <v>622</v>
      </c>
      <c r="G268" s="75">
        <f>SUMPRODUCT(COUNTIFS(PROGRAM_DIRECTORY!$A$2:$A$334, $N268:$AB268, PROGRAM_DIRECTORY!$D$2:$D$334, "Non-Stage", PROGRAM_DIRECTORY!$E$2:$E$334, "Individual"))</f>
        <v>0</v>
      </c>
      <c r="H268" s="75">
        <f>SUMPRODUCT(COUNTIFS(PROGRAM_DIRECTORY!$A$2:$A$334, $N268:$AB268, PROGRAM_DIRECTORY!$D$2:$D$334, "Stage", PROGRAM_DIRECTORY!$E$2:$E$334, "Individual"))</f>
        <v>0</v>
      </c>
      <c r="I268" s="75">
        <f>SUMPRODUCT(COUNTIFS(PROGRAM_DIRECTORY!$A$2:$A$334, $N268:$AB268, PROGRAM_DIRECTORY!$D$2:$D$334, "Sports"))</f>
        <v>0</v>
      </c>
      <c r="J268" s="75">
        <f>SUMPRODUCT(COUNTIFS(PROGRAM_DIRECTORY!$A$2:$A$334, $N268:$AB268, PROGRAM_DIRECTORY!$E$2:$E$334, "Individual"))</f>
        <v>0</v>
      </c>
      <c r="K268" s="75">
        <f>SUMPRODUCT(COUNTIFS(PROGRAM_DIRECTORY!$A$2:$A$334, $N268:$AB268, PROGRAM_DIRECTORY!$E$2:$E$334, "Group"))</f>
        <v>0</v>
      </c>
      <c r="L268" s="75">
        <f t="shared" si="1"/>
        <v>0</v>
      </c>
      <c r="M268" s="75" t="str">
        <f t="shared" si="2"/>
        <v>Min 1 Required (Stage &amp; Non-Stage)</v>
      </c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AC268" s="79" t="str">
        <f t="shared" si="3"/>
        <v/>
      </c>
    </row>
    <row r="269">
      <c r="A269" s="74">
        <v>462.0</v>
      </c>
      <c r="B269" s="74" t="s">
        <v>923</v>
      </c>
      <c r="C269" s="74">
        <v>1.0</v>
      </c>
      <c r="D269" s="74" t="s">
        <v>2</v>
      </c>
      <c r="E269" s="74" t="s">
        <v>450</v>
      </c>
      <c r="F269" s="74" t="s">
        <v>622</v>
      </c>
      <c r="G269" s="75">
        <f>SUMPRODUCT(COUNTIFS(PROGRAM_DIRECTORY!$A$2:$A$334, $N269:$AB269, PROGRAM_DIRECTORY!$D$2:$D$334, "Non-Stage", PROGRAM_DIRECTORY!$E$2:$E$334, "Individual"))</f>
        <v>0</v>
      </c>
      <c r="H269" s="75">
        <f>SUMPRODUCT(COUNTIFS(PROGRAM_DIRECTORY!$A$2:$A$334, $N269:$AB269, PROGRAM_DIRECTORY!$D$2:$D$334, "Stage", PROGRAM_DIRECTORY!$E$2:$E$334, "Individual"))</f>
        <v>0</v>
      </c>
      <c r="I269" s="75">
        <f>SUMPRODUCT(COUNTIFS(PROGRAM_DIRECTORY!$A$2:$A$334, $N269:$AB269, PROGRAM_DIRECTORY!$D$2:$D$334, "Sports"))</f>
        <v>0</v>
      </c>
      <c r="J269" s="75">
        <f>SUMPRODUCT(COUNTIFS(PROGRAM_DIRECTORY!$A$2:$A$334, $N269:$AB269, PROGRAM_DIRECTORY!$E$2:$E$334, "Individual"))</f>
        <v>0</v>
      </c>
      <c r="K269" s="75">
        <f>SUMPRODUCT(COUNTIFS(PROGRAM_DIRECTORY!$A$2:$A$334, $N269:$AB269, PROGRAM_DIRECTORY!$E$2:$E$334, "Group"))</f>
        <v>0</v>
      </c>
      <c r="L269" s="75">
        <f t="shared" si="1"/>
        <v>0</v>
      </c>
      <c r="M269" s="75" t="str">
        <f t="shared" si="2"/>
        <v>Min 1 Required (Stage &amp; Non-Stage)</v>
      </c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AC269" s="79" t="str">
        <f t="shared" si="3"/>
        <v/>
      </c>
    </row>
    <row r="270">
      <c r="A270" s="74">
        <v>463.0</v>
      </c>
      <c r="B270" s="74" t="s">
        <v>924</v>
      </c>
      <c r="C270" s="74">
        <v>1.0</v>
      </c>
      <c r="D270" s="74" t="s">
        <v>2</v>
      </c>
      <c r="E270" s="74" t="s">
        <v>331</v>
      </c>
      <c r="F270" s="74" t="s">
        <v>622</v>
      </c>
      <c r="G270" s="75">
        <f>SUMPRODUCT(COUNTIFS(PROGRAM_DIRECTORY!$A$2:$A$334, $N270:$AB270, PROGRAM_DIRECTORY!$D$2:$D$334, "Non-Stage", PROGRAM_DIRECTORY!$E$2:$E$334, "Individual"))</f>
        <v>0</v>
      </c>
      <c r="H270" s="75">
        <f>SUMPRODUCT(COUNTIFS(PROGRAM_DIRECTORY!$A$2:$A$334, $N270:$AB270, PROGRAM_DIRECTORY!$D$2:$D$334, "Stage", PROGRAM_DIRECTORY!$E$2:$E$334, "Individual"))</f>
        <v>0</v>
      </c>
      <c r="I270" s="75">
        <f>SUMPRODUCT(COUNTIFS(PROGRAM_DIRECTORY!$A$2:$A$334, $N270:$AB270, PROGRAM_DIRECTORY!$D$2:$D$334, "Sports"))</f>
        <v>0</v>
      </c>
      <c r="J270" s="75">
        <f>SUMPRODUCT(COUNTIFS(PROGRAM_DIRECTORY!$A$2:$A$334, $N270:$AB270, PROGRAM_DIRECTORY!$E$2:$E$334, "Individual"))</f>
        <v>0</v>
      </c>
      <c r="K270" s="75">
        <f>SUMPRODUCT(COUNTIFS(PROGRAM_DIRECTORY!$A$2:$A$334, $N270:$AB270, PROGRAM_DIRECTORY!$E$2:$E$334, "Group"))</f>
        <v>0</v>
      </c>
      <c r="L270" s="75">
        <f t="shared" si="1"/>
        <v>0</v>
      </c>
      <c r="M270" s="75" t="str">
        <f t="shared" si="2"/>
        <v>Min 1 Required (Stage &amp; Non-Stage)</v>
      </c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AC270" s="79" t="str">
        <f t="shared" si="3"/>
        <v/>
      </c>
    </row>
    <row r="271">
      <c r="A271" s="74">
        <v>464.0</v>
      </c>
      <c r="B271" s="74" t="s">
        <v>925</v>
      </c>
      <c r="C271" s="74">
        <v>1.0</v>
      </c>
      <c r="D271" s="74" t="s">
        <v>2</v>
      </c>
      <c r="E271" s="74" t="s">
        <v>380</v>
      </c>
      <c r="F271" s="74" t="s">
        <v>622</v>
      </c>
      <c r="G271" s="75">
        <f>SUMPRODUCT(COUNTIFS(PROGRAM_DIRECTORY!$A$2:$A$334, $N271:$AB271, PROGRAM_DIRECTORY!$D$2:$D$334, "Non-Stage", PROGRAM_DIRECTORY!$E$2:$E$334, "Individual"))</f>
        <v>0</v>
      </c>
      <c r="H271" s="75">
        <f>SUMPRODUCT(COUNTIFS(PROGRAM_DIRECTORY!$A$2:$A$334, $N271:$AB271, PROGRAM_DIRECTORY!$D$2:$D$334, "Stage", PROGRAM_DIRECTORY!$E$2:$E$334, "Individual"))</f>
        <v>0</v>
      </c>
      <c r="I271" s="75">
        <f>SUMPRODUCT(COUNTIFS(PROGRAM_DIRECTORY!$A$2:$A$334, $N271:$AB271, PROGRAM_DIRECTORY!$D$2:$D$334, "Sports"))</f>
        <v>0</v>
      </c>
      <c r="J271" s="75">
        <f>SUMPRODUCT(COUNTIFS(PROGRAM_DIRECTORY!$A$2:$A$334, $N271:$AB271, PROGRAM_DIRECTORY!$E$2:$E$334, "Individual"))</f>
        <v>0</v>
      </c>
      <c r="K271" s="75">
        <f>SUMPRODUCT(COUNTIFS(PROGRAM_DIRECTORY!$A$2:$A$334, $N271:$AB271, PROGRAM_DIRECTORY!$E$2:$E$334, "Group"))</f>
        <v>0</v>
      </c>
      <c r="L271" s="75">
        <f t="shared" si="1"/>
        <v>0</v>
      </c>
      <c r="M271" s="75" t="str">
        <f t="shared" si="2"/>
        <v>Min 1 Required (Stage &amp; Non-Stage)</v>
      </c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AC271" s="79" t="str">
        <f t="shared" si="3"/>
        <v/>
      </c>
    </row>
    <row r="272">
      <c r="A272" s="74">
        <v>465.0</v>
      </c>
      <c r="B272" s="74" t="s">
        <v>926</v>
      </c>
      <c r="C272" s="74">
        <v>1.0</v>
      </c>
      <c r="D272" s="74" t="s">
        <v>2</v>
      </c>
      <c r="E272" s="74" t="s">
        <v>331</v>
      </c>
      <c r="F272" s="74" t="s">
        <v>622</v>
      </c>
      <c r="G272" s="75">
        <f>SUMPRODUCT(COUNTIFS(PROGRAM_DIRECTORY!$A$2:$A$334, $N272:$AB272, PROGRAM_DIRECTORY!$D$2:$D$334, "Non-Stage", PROGRAM_DIRECTORY!$E$2:$E$334, "Individual"))</f>
        <v>0</v>
      </c>
      <c r="H272" s="75">
        <f>SUMPRODUCT(COUNTIFS(PROGRAM_DIRECTORY!$A$2:$A$334, $N272:$AB272, PROGRAM_DIRECTORY!$D$2:$D$334, "Stage", PROGRAM_DIRECTORY!$E$2:$E$334, "Individual"))</f>
        <v>0</v>
      </c>
      <c r="I272" s="75">
        <f>SUMPRODUCT(COUNTIFS(PROGRAM_DIRECTORY!$A$2:$A$334, $N272:$AB272, PROGRAM_DIRECTORY!$D$2:$D$334, "Sports"))</f>
        <v>0</v>
      </c>
      <c r="J272" s="75">
        <f>SUMPRODUCT(COUNTIFS(PROGRAM_DIRECTORY!$A$2:$A$334, $N272:$AB272, PROGRAM_DIRECTORY!$E$2:$E$334, "Individual"))</f>
        <v>0</v>
      </c>
      <c r="K272" s="75">
        <f>SUMPRODUCT(COUNTIFS(PROGRAM_DIRECTORY!$A$2:$A$334, $N272:$AB272, PROGRAM_DIRECTORY!$E$2:$E$334, "Group"))</f>
        <v>0</v>
      </c>
      <c r="L272" s="75">
        <f t="shared" si="1"/>
        <v>0</v>
      </c>
      <c r="M272" s="75" t="str">
        <f t="shared" si="2"/>
        <v>Min 1 Required (Stage &amp; Non-Stage)</v>
      </c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AC272" s="79" t="str">
        <f t="shared" si="3"/>
        <v/>
      </c>
    </row>
    <row r="273">
      <c r="A273" s="74">
        <v>466.0</v>
      </c>
      <c r="B273" s="74" t="s">
        <v>927</v>
      </c>
      <c r="C273" s="74">
        <v>1.0</v>
      </c>
      <c r="D273" s="74" t="s">
        <v>2</v>
      </c>
      <c r="E273" s="74" t="s">
        <v>380</v>
      </c>
      <c r="F273" s="74" t="s">
        <v>622</v>
      </c>
      <c r="G273" s="75">
        <f>SUMPRODUCT(COUNTIFS(PROGRAM_DIRECTORY!$A$2:$A$334, $N273:$AB273, PROGRAM_DIRECTORY!$D$2:$D$334, "Non-Stage", PROGRAM_DIRECTORY!$E$2:$E$334, "Individual"))</f>
        <v>0</v>
      </c>
      <c r="H273" s="75">
        <f>SUMPRODUCT(COUNTIFS(PROGRAM_DIRECTORY!$A$2:$A$334, $N273:$AB273, PROGRAM_DIRECTORY!$D$2:$D$334, "Stage", PROGRAM_DIRECTORY!$E$2:$E$334, "Individual"))</f>
        <v>0</v>
      </c>
      <c r="I273" s="75">
        <f>SUMPRODUCT(COUNTIFS(PROGRAM_DIRECTORY!$A$2:$A$334, $N273:$AB273, PROGRAM_DIRECTORY!$D$2:$D$334, "Sports"))</f>
        <v>0</v>
      </c>
      <c r="J273" s="75">
        <f>SUMPRODUCT(COUNTIFS(PROGRAM_DIRECTORY!$A$2:$A$334, $N273:$AB273, PROGRAM_DIRECTORY!$E$2:$E$334, "Individual"))</f>
        <v>0</v>
      </c>
      <c r="K273" s="75">
        <f>SUMPRODUCT(COUNTIFS(PROGRAM_DIRECTORY!$A$2:$A$334, $N273:$AB273, PROGRAM_DIRECTORY!$E$2:$E$334, "Group"))</f>
        <v>0</v>
      </c>
      <c r="L273" s="75">
        <f t="shared" si="1"/>
        <v>0</v>
      </c>
      <c r="M273" s="75" t="str">
        <f t="shared" si="2"/>
        <v>Min 1 Required (Stage &amp; Non-Stage)</v>
      </c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AC273" s="79" t="str">
        <f t="shared" si="3"/>
        <v/>
      </c>
    </row>
    <row r="274">
      <c r="A274" s="74">
        <v>467.0</v>
      </c>
      <c r="B274" s="74" t="s">
        <v>928</v>
      </c>
      <c r="C274" s="74">
        <v>1.0</v>
      </c>
      <c r="D274" s="74" t="s">
        <v>2</v>
      </c>
      <c r="E274" s="74" t="s">
        <v>450</v>
      </c>
      <c r="F274" s="74" t="s">
        <v>622</v>
      </c>
      <c r="G274" s="75">
        <f>SUMPRODUCT(COUNTIFS(PROGRAM_DIRECTORY!$A$2:$A$334, $N274:$AB274, PROGRAM_DIRECTORY!$D$2:$D$334, "Non-Stage", PROGRAM_DIRECTORY!$E$2:$E$334, "Individual"))</f>
        <v>0</v>
      </c>
      <c r="H274" s="75">
        <f>SUMPRODUCT(COUNTIFS(PROGRAM_DIRECTORY!$A$2:$A$334, $N274:$AB274, PROGRAM_DIRECTORY!$D$2:$D$334, "Stage", PROGRAM_DIRECTORY!$E$2:$E$334, "Individual"))</f>
        <v>0</v>
      </c>
      <c r="I274" s="75">
        <f>SUMPRODUCT(COUNTIFS(PROGRAM_DIRECTORY!$A$2:$A$334, $N274:$AB274, PROGRAM_DIRECTORY!$D$2:$D$334, "Sports"))</f>
        <v>0</v>
      </c>
      <c r="J274" s="75">
        <f>SUMPRODUCT(COUNTIFS(PROGRAM_DIRECTORY!$A$2:$A$334, $N274:$AB274, PROGRAM_DIRECTORY!$E$2:$E$334, "Individual"))</f>
        <v>0</v>
      </c>
      <c r="K274" s="75">
        <f>SUMPRODUCT(COUNTIFS(PROGRAM_DIRECTORY!$A$2:$A$334, $N274:$AB274, PROGRAM_DIRECTORY!$E$2:$E$334, "Group"))</f>
        <v>0</v>
      </c>
      <c r="L274" s="75">
        <f t="shared" si="1"/>
        <v>0</v>
      </c>
      <c r="M274" s="75" t="str">
        <f t="shared" si="2"/>
        <v>Min 1 Required (Stage &amp; Non-Stage)</v>
      </c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AC274" s="79" t="str">
        <f t="shared" si="3"/>
        <v/>
      </c>
    </row>
    <row r="275">
      <c r="A275" s="74">
        <v>468.0</v>
      </c>
      <c r="B275" s="74" t="s">
        <v>929</v>
      </c>
      <c r="C275" s="74">
        <v>1.0</v>
      </c>
      <c r="D275" s="74" t="s">
        <v>2</v>
      </c>
      <c r="E275" s="74" t="s">
        <v>380</v>
      </c>
      <c r="F275" s="74" t="s">
        <v>622</v>
      </c>
      <c r="G275" s="75">
        <f>SUMPRODUCT(COUNTIFS(PROGRAM_DIRECTORY!$A$2:$A$334, $N275:$AB275, PROGRAM_DIRECTORY!$D$2:$D$334, "Non-Stage", PROGRAM_DIRECTORY!$E$2:$E$334, "Individual"))</f>
        <v>0</v>
      </c>
      <c r="H275" s="75">
        <f>SUMPRODUCT(COUNTIFS(PROGRAM_DIRECTORY!$A$2:$A$334, $N275:$AB275, PROGRAM_DIRECTORY!$D$2:$D$334, "Stage", PROGRAM_DIRECTORY!$E$2:$E$334, "Individual"))</f>
        <v>0</v>
      </c>
      <c r="I275" s="75">
        <f>SUMPRODUCT(COUNTIFS(PROGRAM_DIRECTORY!$A$2:$A$334, $N275:$AB275, PROGRAM_DIRECTORY!$D$2:$D$334, "Sports"))</f>
        <v>0</v>
      </c>
      <c r="J275" s="75">
        <f>SUMPRODUCT(COUNTIFS(PROGRAM_DIRECTORY!$A$2:$A$334, $N275:$AB275, PROGRAM_DIRECTORY!$E$2:$E$334, "Individual"))</f>
        <v>0</v>
      </c>
      <c r="K275" s="75">
        <f>SUMPRODUCT(COUNTIFS(PROGRAM_DIRECTORY!$A$2:$A$334, $N275:$AB275, PROGRAM_DIRECTORY!$E$2:$E$334, "Group"))</f>
        <v>0</v>
      </c>
      <c r="L275" s="75">
        <f t="shared" si="1"/>
        <v>0</v>
      </c>
      <c r="M275" s="75" t="str">
        <f t="shared" si="2"/>
        <v>Min 1 Required (Stage &amp; Non-Stage)</v>
      </c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AC275" s="79" t="str">
        <f t="shared" si="3"/>
        <v/>
      </c>
    </row>
    <row r="276">
      <c r="A276" s="74">
        <v>469.0</v>
      </c>
      <c r="B276" s="74" t="s">
        <v>930</v>
      </c>
      <c r="C276" s="74">
        <v>1.0</v>
      </c>
      <c r="D276" s="74" t="s">
        <v>2</v>
      </c>
      <c r="E276" s="74" t="s">
        <v>450</v>
      </c>
      <c r="F276" s="74" t="s">
        <v>622</v>
      </c>
      <c r="G276" s="75">
        <f>SUMPRODUCT(COUNTIFS(PROGRAM_DIRECTORY!$A$2:$A$334, $N276:$AB276, PROGRAM_DIRECTORY!$D$2:$D$334, "Non-Stage", PROGRAM_DIRECTORY!$E$2:$E$334, "Individual"))</f>
        <v>0</v>
      </c>
      <c r="H276" s="75">
        <f>SUMPRODUCT(COUNTIFS(PROGRAM_DIRECTORY!$A$2:$A$334, $N276:$AB276, PROGRAM_DIRECTORY!$D$2:$D$334, "Stage", PROGRAM_DIRECTORY!$E$2:$E$334, "Individual"))</f>
        <v>0</v>
      </c>
      <c r="I276" s="75">
        <f>SUMPRODUCT(COUNTIFS(PROGRAM_DIRECTORY!$A$2:$A$334, $N276:$AB276, PROGRAM_DIRECTORY!$D$2:$D$334, "Sports"))</f>
        <v>0</v>
      </c>
      <c r="J276" s="75">
        <f>SUMPRODUCT(COUNTIFS(PROGRAM_DIRECTORY!$A$2:$A$334, $N276:$AB276, PROGRAM_DIRECTORY!$E$2:$E$334, "Individual"))</f>
        <v>0</v>
      </c>
      <c r="K276" s="75">
        <f>SUMPRODUCT(COUNTIFS(PROGRAM_DIRECTORY!$A$2:$A$334, $N276:$AB276, PROGRAM_DIRECTORY!$E$2:$E$334, "Group"))</f>
        <v>0</v>
      </c>
      <c r="L276" s="75">
        <f t="shared" si="1"/>
        <v>0</v>
      </c>
      <c r="M276" s="75" t="str">
        <f t="shared" si="2"/>
        <v>Min 1 Required (Stage &amp; Non-Stage)</v>
      </c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AC276" s="79" t="str">
        <f t="shared" si="3"/>
        <v/>
      </c>
    </row>
    <row r="277">
      <c r="A277" s="74">
        <v>470.0</v>
      </c>
      <c r="B277" s="74" t="s">
        <v>931</v>
      </c>
      <c r="C277" s="74">
        <v>1.0</v>
      </c>
      <c r="D277" s="74" t="s">
        <v>2</v>
      </c>
      <c r="E277" s="74" t="s">
        <v>195</v>
      </c>
      <c r="F277" s="74" t="s">
        <v>622</v>
      </c>
      <c r="G277" s="75">
        <f>SUMPRODUCT(COUNTIFS(PROGRAM_DIRECTORY!$A$2:$A$334, $N277:$AB277, PROGRAM_DIRECTORY!$D$2:$D$334, "Non-Stage", PROGRAM_DIRECTORY!$E$2:$E$334, "Individual"))</f>
        <v>0</v>
      </c>
      <c r="H277" s="75">
        <f>SUMPRODUCT(COUNTIFS(PROGRAM_DIRECTORY!$A$2:$A$334, $N277:$AB277, PROGRAM_DIRECTORY!$D$2:$D$334, "Stage", PROGRAM_DIRECTORY!$E$2:$E$334, "Individual"))</f>
        <v>0</v>
      </c>
      <c r="I277" s="75">
        <f>SUMPRODUCT(COUNTIFS(PROGRAM_DIRECTORY!$A$2:$A$334, $N277:$AB277, PROGRAM_DIRECTORY!$D$2:$D$334, "Sports"))</f>
        <v>0</v>
      </c>
      <c r="J277" s="75">
        <f>SUMPRODUCT(COUNTIFS(PROGRAM_DIRECTORY!$A$2:$A$334, $N277:$AB277, PROGRAM_DIRECTORY!$E$2:$E$334, "Individual"))</f>
        <v>0</v>
      </c>
      <c r="K277" s="75">
        <f>SUMPRODUCT(COUNTIFS(PROGRAM_DIRECTORY!$A$2:$A$334, $N277:$AB277, PROGRAM_DIRECTORY!$E$2:$E$334, "Group"))</f>
        <v>0</v>
      </c>
      <c r="L277" s="75">
        <f t="shared" si="1"/>
        <v>0</v>
      </c>
      <c r="M277" s="75" t="str">
        <f t="shared" si="2"/>
        <v>Min 1 Required (Stage &amp; Non-Stage)</v>
      </c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AC277" s="79" t="str">
        <f t="shared" si="3"/>
        <v/>
      </c>
    </row>
    <row r="278">
      <c r="A278" s="74">
        <v>471.0</v>
      </c>
      <c r="B278" s="74" t="s">
        <v>932</v>
      </c>
      <c r="C278" s="74">
        <v>1.0</v>
      </c>
      <c r="D278" s="74" t="s">
        <v>2</v>
      </c>
      <c r="E278" s="74" t="s">
        <v>380</v>
      </c>
      <c r="F278" s="74" t="s">
        <v>622</v>
      </c>
      <c r="G278" s="75">
        <f>SUMPRODUCT(COUNTIFS(PROGRAM_DIRECTORY!$A$2:$A$334, $N278:$AB278, PROGRAM_DIRECTORY!$D$2:$D$334, "Non-Stage", PROGRAM_DIRECTORY!$E$2:$E$334, "Individual"))</f>
        <v>0</v>
      </c>
      <c r="H278" s="75">
        <f>SUMPRODUCT(COUNTIFS(PROGRAM_DIRECTORY!$A$2:$A$334, $N278:$AB278, PROGRAM_DIRECTORY!$D$2:$D$334, "Stage", PROGRAM_DIRECTORY!$E$2:$E$334, "Individual"))</f>
        <v>0</v>
      </c>
      <c r="I278" s="75">
        <f>SUMPRODUCT(COUNTIFS(PROGRAM_DIRECTORY!$A$2:$A$334, $N278:$AB278, PROGRAM_DIRECTORY!$D$2:$D$334, "Sports"))</f>
        <v>0</v>
      </c>
      <c r="J278" s="75">
        <f>SUMPRODUCT(COUNTIFS(PROGRAM_DIRECTORY!$A$2:$A$334, $N278:$AB278, PROGRAM_DIRECTORY!$E$2:$E$334, "Individual"))</f>
        <v>0</v>
      </c>
      <c r="K278" s="75">
        <f>SUMPRODUCT(COUNTIFS(PROGRAM_DIRECTORY!$A$2:$A$334, $N278:$AB278, PROGRAM_DIRECTORY!$E$2:$E$334, "Group"))</f>
        <v>0</v>
      </c>
      <c r="L278" s="75">
        <f t="shared" si="1"/>
        <v>0</v>
      </c>
      <c r="M278" s="75" t="str">
        <f t="shared" si="2"/>
        <v>Min 1 Required (Stage &amp; Non-Stage)</v>
      </c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AC278" s="79" t="str">
        <f t="shared" si="3"/>
        <v/>
      </c>
    </row>
    <row r="279">
      <c r="A279" s="74">
        <v>472.0</v>
      </c>
      <c r="B279" s="74" t="s">
        <v>933</v>
      </c>
      <c r="C279" s="74">
        <v>1.0</v>
      </c>
      <c r="D279" s="74" t="s">
        <v>2</v>
      </c>
      <c r="E279" s="74" t="s">
        <v>380</v>
      </c>
      <c r="F279" s="74" t="s">
        <v>622</v>
      </c>
      <c r="G279" s="75">
        <f>SUMPRODUCT(COUNTIFS(PROGRAM_DIRECTORY!$A$2:$A$334, $N279:$AB279, PROGRAM_DIRECTORY!$D$2:$D$334, "Non-Stage", PROGRAM_DIRECTORY!$E$2:$E$334, "Individual"))</f>
        <v>0</v>
      </c>
      <c r="H279" s="75">
        <f>SUMPRODUCT(COUNTIFS(PROGRAM_DIRECTORY!$A$2:$A$334, $N279:$AB279, PROGRAM_DIRECTORY!$D$2:$D$334, "Stage", PROGRAM_DIRECTORY!$E$2:$E$334, "Individual"))</f>
        <v>0</v>
      </c>
      <c r="I279" s="75">
        <f>SUMPRODUCT(COUNTIFS(PROGRAM_DIRECTORY!$A$2:$A$334, $N279:$AB279, PROGRAM_DIRECTORY!$D$2:$D$334, "Sports"))</f>
        <v>0</v>
      </c>
      <c r="J279" s="75">
        <f>SUMPRODUCT(COUNTIFS(PROGRAM_DIRECTORY!$A$2:$A$334, $N279:$AB279, PROGRAM_DIRECTORY!$E$2:$E$334, "Individual"))</f>
        <v>0</v>
      </c>
      <c r="K279" s="75">
        <f>SUMPRODUCT(COUNTIFS(PROGRAM_DIRECTORY!$A$2:$A$334, $N279:$AB279, PROGRAM_DIRECTORY!$E$2:$E$334, "Group"))</f>
        <v>0</v>
      </c>
      <c r="L279" s="75">
        <f t="shared" si="1"/>
        <v>0</v>
      </c>
      <c r="M279" s="75" t="str">
        <f t="shared" si="2"/>
        <v>Min 1 Required (Stage &amp; Non-Stage)</v>
      </c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AC279" s="79" t="str">
        <f t="shared" si="3"/>
        <v/>
      </c>
    </row>
    <row r="280">
      <c r="A280" s="74">
        <v>473.0</v>
      </c>
      <c r="B280" s="74" t="s">
        <v>934</v>
      </c>
      <c r="C280" s="74">
        <v>1.0</v>
      </c>
      <c r="D280" s="74" t="s">
        <v>2</v>
      </c>
      <c r="E280" s="74" t="s">
        <v>331</v>
      </c>
      <c r="F280" s="74" t="s">
        <v>622</v>
      </c>
      <c r="G280" s="75">
        <f>SUMPRODUCT(COUNTIFS(PROGRAM_DIRECTORY!$A$2:$A$334, $N280:$AB280, PROGRAM_DIRECTORY!$D$2:$D$334, "Non-Stage", PROGRAM_DIRECTORY!$E$2:$E$334, "Individual"))</f>
        <v>0</v>
      </c>
      <c r="H280" s="75">
        <f>SUMPRODUCT(COUNTIFS(PROGRAM_DIRECTORY!$A$2:$A$334, $N280:$AB280, PROGRAM_DIRECTORY!$D$2:$D$334, "Stage", PROGRAM_DIRECTORY!$E$2:$E$334, "Individual"))</f>
        <v>0</v>
      </c>
      <c r="I280" s="75">
        <f>SUMPRODUCT(COUNTIFS(PROGRAM_DIRECTORY!$A$2:$A$334, $N280:$AB280, PROGRAM_DIRECTORY!$D$2:$D$334, "Sports"))</f>
        <v>0</v>
      </c>
      <c r="J280" s="75">
        <f>SUMPRODUCT(COUNTIFS(PROGRAM_DIRECTORY!$A$2:$A$334, $N280:$AB280, PROGRAM_DIRECTORY!$E$2:$E$334, "Individual"))</f>
        <v>0</v>
      </c>
      <c r="K280" s="75">
        <f>SUMPRODUCT(COUNTIFS(PROGRAM_DIRECTORY!$A$2:$A$334, $N280:$AB280, PROGRAM_DIRECTORY!$E$2:$E$334, "Group"))</f>
        <v>0</v>
      </c>
      <c r="L280" s="75">
        <f t="shared" si="1"/>
        <v>0</v>
      </c>
      <c r="M280" s="75" t="str">
        <f t="shared" si="2"/>
        <v>Min 1 Required (Stage &amp; Non-Stage)</v>
      </c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AC280" s="79" t="str">
        <f t="shared" si="3"/>
        <v/>
      </c>
    </row>
    <row r="281">
      <c r="A281" s="74">
        <v>474.0</v>
      </c>
      <c r="B281" s="74" t="s">
        <v>935</v>
      </c>
      <c r="C281" s="74">
        <v>1.0</v>
      </c>
      <c r="D281" s="74" t="s">
        <v>2</v>
      </c>
      <c r="E281" s="74" t="s">
        <v>195</v>
      </c>
      <c r="F281" s="74" t="s">
        <v>622</v>
      </c>
      <c r="G281" s="75">
        <f>SUMPRODUCT(COUNTIFS(PROGRAM_DIRECTORY!$A$2:$A$334, $N281:$AB281, PROGRAM_DIRECTORY!$D$2:$D$334, "Non-Stage", PROGRAM_DIRECTORY!$E$2:$E$334, "Individual"))</f>
        <v>0</v>
      </c>
      <c r="H281" s="75">
        <f>SUMPRODUCT(COUNTIFS(PROGRAM_DIRECTORY!$A$2:$A$334, $N281:$AB281, PROGRAM_DIRECTORY!$D$2:$D$334, "Stage", PROGRAM_DIRECTORY!$E$2:$E$334, "Individual"))</f>
        <v>0</v>
      </c>
      <c r="I281" s="75">
        <f>SUMPRODUCT(COUNTIFS(PROGRAM_DIRECTORY!$A$2:$A$334, $N281:$AB281, PROGRAM_DIRECTORY!$D$2:$D$334, "Sports"))</f>
        <v>0</v>
      </c>
      <c r="J281" s="75">
        <f>SUMPRODUCT(COUNTIFS(PROGRAM_DIRECTORY!$A$2:$A$334, $N281:$AB281, PROGRAM_DIRECTORY!$E$2:$E$334, "Individual"))</f>
        <v>0</v>
      </c>
      <c r="K281" s="75">
        <f>SUMPRODUCT(COUNTIFS(PROGRAM_DIRECTORY!$A$2:$A$334, $N281:$AB281, PROGRAM_DIRECTORY!$E$2:$E$334, "Group"))</f>
        <v>0</v>
      </c>
      <c r="L281" s="75">
        <f t="shared" si="1"/>
        <v>0</v>
      </c>
      <c r="M281" s="75" t="str">
        <f t="shared" si="2"/>
        <v>Min 1 Required (Stage &amp; Non-Stage)</v>
      </c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AC281" s="79" t="str">
        <f t="shared" si="3"/>
        <v/>
      </c>
    </row>
    <row r="282">
      <c r="A282" s="74">
        <v>475.0</v>
      </c>
      <c r="B282" s="74" t="s">
        <v>936</v>
      </c>
      <c r="C282" s="74">
        <v>1.0</v>
      </c>
      <c r="D282" s="74" t="s">
        <v>2</v>
      </c>
      <c r="E282" s="74" t="s">
        <v>450</v>
      </c>
      <c r="F282" s="74" t="s">
        <v>622</v>
      </c>
      <c r="G282" s="75">
        <f>SUMPRODUCT(COUNTIFS(PROGRAM_DIRECTORY!$A$2:$A$334, $N282:$AB282, PROGRAM_DIRECTORY!$D$2:$D$334, "Non-Stage", PROGRAM_DIRECTORY!$E$2:$E$334, "Individual"))</f>
        <v>0</v>
      </c>
      <c r="H282" s="75">
        <f>SUMPRODUCT(COUNTIFS(PROGRAM_DIRECTORY!$A$2:$A$334, $N282:$AB282, PROGRAM_DIRECTORY!$D$2:$D$334, "Stage", PROGRAM_DIRECTORY!$E$2:$E$334, "Individual"))</f>
        <v>0</v>
      </c>
      <c r="I282" s="75">
        <f>SUMPRODUCT(COUNTIFS(PROGRAM_DIRECTORY!$A$2:$A$334, $N282:$AB282, PROGRAM_DIRECTORY!$D$2:$D$334, "Sports"))</f>
        <v>0</v>
      </c>
      <c r="J282" s="75">
        <f>SUMPRODUCT(COUNTIFS(PROGRAM_DIRECTORY!$A$2:$A$334, $N282:$AB282, PROGRAM_DIRECTORY!$E$2:$E$334, "Individual"))</f>
        <v>0</v>
      </c>
      <c r="K282" s="75">
        <f>SUMPRODUCT(COUNTIFS(PROGRAM_DIRECTORY!$A$2:$A$334, $N282:$AB282, PROGRAM_DIRECTORY!$E$2:$E$334, "Group"))</f>
        <v>0</v>
      </c>
      <c r="L282" s="75">
        <f t="shared" si="1"/>
        <v>0</v>
      </c>
      <c r="M282" s="75" t="str">
        <f t="shared" si="2"/>
        <v>Min 1 Required (Stage &amp; Non-Stage)</v>
      </c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AC282" s="79" t="str">
        <f t="shared" si="3"/>
        <v/>
      </c>
    </row>
    <row r="283">
      <c r="A283" s="74">
        <v>476.0</v>
      </c>
      <c r="B283" s="74" t="s">
        <v>937</v>
      </c>
      <c r="C283" s="74">
        <v>1.0</v>
      </c>
      <c r="D283" s="74" t="s">
        <v>2</v>
      </c>
      <c r="E283" s="74" t="s">
        <v>450</v>
      </c>
      <c r="F283" s="74" t="s">
        <v>622</v>
      </c>
      <c r="G283" s="75">
        <f>SUMPRODUCT(COUNTIFS(PROGRAM_DIRECTORY!$A$2:$A$334, $N283:$AB283, PROGRAM_DIRECTORY!$D$2:$D$334, "Non-Stage", PROGRAM_DIRECTORY!$E$2:$E$334, "Individual"))</f>
        <v>0</v>
      </c>
      <c r="H283" s="75">
        <f>SUMPRODUCT(COUNTIFS(PROGRAM_DIRECTORY!$A$2:$A$334, $N283:$AB283, PROGRAM_DIRECTORY!$D$2:$D$334, "Stage", PROGRAM_DIRECTORY!$E$2:$E$334, "Individual"))</f>
        <v>0</v>
      </c>
      <c r="I283" s="75">
        <f>SUMPRODUCT(COUNTIFS(PROGRAM_DIRECTORY!$A$2:$A$334, $N283:$AB283, PROGRAM_DIRECTORY!$D$2:$D$334, "Sports"))</f>
        <v>0</v>
      </c>
      <c r="J283" s="75">
        <f>SUMPRODUCT(COUNTIFS(PROGRAM_DIRECTORY!$A$2:$A$334, $N283:$AB283, PROGRAM_DIRECTORY!$E$2:$E$334, "Individual"))</f>
        <v>0</v>
      </c>
      <c r="K283" s="75">
        <f>SUMPRODUCT(COUNTIFS(PROGRAM_DIRECTORY!$A$2:$A$334, $N283:$AB283, PROGRAM_DIRECTORY!$E$2:$E$334, "Group"))</f>
        <v>0</v>
      </c>
      <c r="L283" s="75">
        <f t="shared" si="1"/>
        <v>0</v>
      </c>
      <c r="M283" s="75" t="str">
        <f t="shared" si="2"/>
        <v>Min 1 Required (Stage &amp; Non-Stage)</v>
      </c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AC283" s="79" t="str">
        <f t="shared" si="3"/>
        <v/>
      </c>
    </row>
    <row r="284">
      <c r="A284" s="74">
        <v>477.0</v>
      </c>
      <c r="B284" s="74" t="s">
        <v>938</v>
      </c>
      <c r="C284" s="74">
        <v>1.0</v>
      </c>
      <c r="D284" s="74" t="s">
        <v>2</v>
      </c>
      <c r="E284" s="74" t="s">
        <v>450</v>
      </c>
      <c r="F284" s="74" t="s">
        <v>622</v>
      </c>
      <c r="G284" s="75">
        <f>SUMPRODUCT(COUNTIFS(PROGRAM_DIRECTORY!$A$2:$A$334, $N284:$AB284, PROGRAM_DIRECTORY!$D$2:$D$334, "Non-Stage", PROGRAM_DIRECTORY!$E$2:$E$334, "Individual"))</f>
        <v>0</v>
      </c>
      <c r="H284" s="75">
        <f>SUMPRODUCT(COUNTIFS(PROGRAM_DIRECTORY!$A$2:$A$334, $N284:$AB284, PROGRAM_DIRECTORY!$D$2:$D$334, "Stage", PROGRAM_DIRECTORY!$E$2:$E$334, "Individual"))</f>
        <v>0</v>
      </c>
      <c r="I284" s="75">
        <f>SUMPRODUCT(COUNTIFS(PROGRAM_DIRECTORY!$A$2:$A$334, $N284:$AB284, PROGRAM_DIRECTORY!$D$2:$D$334, "Sports"))</f>
        <v>0</v>
      </c>
      <c r="J284" s="75">
        <f>SUMPRODUCT(COUNTIFS(PROGRAM_DIRECTORY!$A$2:$A$334, $N284:$AB284, PROGRAM_DIRECTORY!$E$2:$E$334, "Individual"))</f>
        <v>0</v>
      </c>
      <c r="K284" s="75">
        <f>SUMPRODUCT(COUNTIFS(PROGRAM_DIRECTORY!$A$2:$A$334, $N284:$AB284, PROGRAM_DIRECTORY!$E$2:$E$334, "Group"))</f>
        <v>0</v>
      </c>
      <c r="L284" s="75">
        <f t="shared" si="1"/>
        <v>0</v>
      </c>
      <c r="M284" s="75" t="str">
        <f t="shared" si="2"/>
        <v>Min 1 Required (Stage &amp; Non-Stage)</v>
      </c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AC284" s="79" t="str">
        <f t="shared" si="3"/>
        <v/>
      </c>
    </row>
    <row r="285">
      <c r="A285" s="74">
        <v>478.0</v>
      </c>
      <c r="B285" s="74" t="s">
        <v>939</v>
      </c>
      <c r="C285" s="74">
        <v>1.0</v>
      </c>
      <c r="D285" s="74" t="s">
        <v>2</v>
      </c>
      <c r="E285" s="74" t="s">
        <v>195</v>
      </c>
      <c r="F285" s="74" t="s">
        <v>622</v>
      </c>
      <c r="G285" s="75">
        <f>SUMPRODUCT(COUNTIFS(PROGRAM_DIRECTORY!$A$2:$A$334, $N285:$AB285, PROGRAM_DIRECTORY!$D$2:$D$334, "Non-Stage", PROGRAM_DIRECTORY!$E$2:$E$334, "Individual"))</f>
        <v>0</v>
      </c>
      <c r="H285" s="75">
        <f>SUMPRODUCT(COUNTIFS(PROGRAM_DIRECTORY!$A$2:$A$334, $N285:$AB285, PROGRAM_DIRECTORY!$D$2:$D$334, "Stage", PROGRAM_DIRECTORY!$E$2:$E$334, "Individual"))</f>
        <v>0</v>
      </c>
      <c r="I285" s="75">
        <f>SUMPRODUCT(COUNTIFS(PROGRAM_DIRECTORY!$A$2:$A$334, $N285:$AB285, PROGRAM_DIRECTORY!$D$2:$D$334, "Sports"))</f>
        <v>0</v>
      </c>
      <c r="J285" s="75">
        <f>SUMPRODUCT(COUNTIFS(PROGRAM_DIRECTORY!$A$2:$A$334, $N285:$AB285, PROGRAM_DIRECTORY!$E$2:$E$334, "Individual"))</f>
        <v>0</v>
      </c>
      <c r="K285" s="75">
        <f>SUMPRODUCT(COUNTIFS(PROGRAM_DIRECTORY!$A$2:$A$334, $N285:$AB285, PROGRAM_DIRECTORY!$E$2:$E$334, "Group"))</f>
        <v>0</v>
      </c>
      <c r="L285" s="75">
        <f t="shared" si="1"/>
        <v>0</v>
      </c>
      <c r="M285" s="75" t="str">
        <f t="shared" si="2"/>
        <v>Min 1 Required (Stage &amp; Non-Stage)</v>
      </c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AC285" s="79" t="str">
        <f t="shared" si="3"/>
        <v/>
      </c>
    </row>
    <row r="286">
      <c r="A286" s="74">
        <v>479.0</v>
      </c>
      <c r="B286" s="74" t="s">
        <v>940</v>
      </c>
      <c r="C286" s="74">
        <v>1.0</v>
      </c>
      <c r="D286" s="74" t="s">
        <v>2</v>
      </c>
      <c r="E286" s="74" t="s">
        <v>331</v>
      </c>
      <c r="F286" s="74" t="s">
        <v>622</v>
      </c>
      <c r="G286" s="75">
        <f>SUMPRODUCT(COUNTIFS(PROGRAM_DIRECTORY!$A$2:$A$334, $N286:$AB286, PROGRAM_DIRECTORY!$D$2:$D$334, "Non-Stage", PROGRAM_DIRECTORY!$E$2:$E$334, "Individual"))</f>
        <v>0</v>
      </c>
      <c r="H286" s="75">
        <f>SUMPRODUCT(COUNTIFS(PROGRAM_DIRECTORY!$A$2:$A$334, $N286:$AB286, PROGRAM_DIRECTORY!$D$2:$D$334, "Stage", PROGRAM_DIRECTORY!$E$2:$E$334, "Individual"))</f>
        <v>0</v>
      </c>
      <c r="I286" s="75">
        <f>SUMPRODUCT(COUNTIFS(PROGRAM_DIRECTORY!$A$2:$A$334, $N286:$AB286, PROGRAM_DIRECTORY!$D$2:$D$334, "Sports"))</f>
        <v>0</v>
      </c>
      <c r="J286" s="75">
        <f>SUMPRODUCT(COUNTIFS(PROGRAM_DIRECTORY!$A$2:$A$334, $N286:$AB286, PROGRAM_DIRECTORY!$E$2:$E$334, "Individual"))</f>
        <v>0</v>
      </c>
      <c r="K286" s="75">
        <f>SUMPRODUCT(COUNTIFS(PROGRAM_DIRECTORY!$A$2:$A$334, $N286:$AB286, PROGRAM_DIRECTORY!$E$2:$E$334, "Group"))</f>
        <v>0</v>
      </c>
      <c r="L286" s="75">
        <f t="shared" si="1"/>
        <v>0</v>
      </c>
      <c r="M286" s="75" t="str">
        <f t="shared" si="2"/>
        <v>Min 1 Required (Stage &amp; Non-Stage)</v>
      </c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AC286" s="79" t="str">
        <f t="shared" si="3"/>
        <v/>
      </c>
    </row>
    <row r="287">
      <c r="A287" s="74">
        <v>480.0</v>
      </c>
      <c r="B287" s="74" t="s">
        <v>941</v>
      </c>
      <c r="C287" s="74">
        <v>1.0</v>
      </c>
      <c r="D287" s="74" t="s">
        <v>2</v>
      </c>
      <c r="E287" s="74" t="s">
        <v>195</v>
      </c>
      <c r="F287" s="74" t="s">
        <v>622</v>
      </c>
      <c r="G287" s="75">
        <f>SUMPRODUCT(COUNTIFS(PROGRAM_DIRECTORY!$A$2:$A$334, $N287:$AB287, PROGRAM_DIRECTORY!$D$2:$D$334, "Non-Stage", PROGRAM_DIRECTORY!$E$2:$E$334, "Individual"))</f>
        <v>0</v>
      </c>
      <c r="H287" s="75">
        <f>SUMPRODUCT(COUNTIFS(PROGRAM_DIRECTORY!$A$2:$A$334, $N287:$AB287, PROGRAM_DIRECTORY!$D$2:$D$334, "Stage", PROGRAM_DIRECTORY!$E$2:$E$334, "Individual"))</f>
        <v>0</v>
      </c>
      <c r="I287" s="75">
        <f>SUMPRODUCT(COUNTIFS(PROGRAM_DIRECTORY!$A$2:$A$334, $N287:$AB287, PROGRAM_DIRECTORY!$D$2:$D$334, "Sports"))</f>
        <v>0</v>
      </c>
      <c r="J287" s="75">
        <f>SUMPRODUCT(COUNTIFS(PROGRAM_DIRECTORY!$A$2:$A$334, $N287:$AB287, PROGRAM_DIRECTORY!$E$2:$E$334, "Individual"))</f>
        <v>0</v>
      </c>
      <c r="K287" s="75">
        <f>SUMPRODUCT(COUNTIFS(PROGRAM_DIRECTORY!$A$2:$A$334, $N287:$AB287, PROGRAM_DIRECTORY!$E$2:$E$334, "Group"))</f>
        <v>0</v>
      </c>
      <c r="L287" s="75">
        <f t="shared" si="1"/>
        <v>0</v>
      </c>
      <c r="M287" s="75" t="str">
        <f t="shared" si="2"/>
        <v>Min 1 Required (Stage &amp; Non-Stage)</v>
      </c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AC287" s="79" t="str">
        <f t="shared" si="3"/>
        <v/>
      </c>
    </row>
    <row r="288">
      <c r="A288" s="74">
        <v>481.0</v>
      </c>
      <c r="B288" s="74" t="s">
        <v>942</v>
      </c>
      <c r="C288" s="74">
        <v>1.0</v>
      </c>
      <c r="D288" s="74" t="s">
        <v>2</v>
      </c>
      <c r="E288" s="74" t="s">
        <v>450</v>
      </c>
      <c r="F288" s="74" t="s">
        <v>622</v>
      </c>
      <c r="G288" s="75">
        <f>SUMPRODUCT(COUNTIFS(PROGRAM_DIRECTORY!$A$2:$A$334, $N288:$AB288, PROGRAM_DIRECTORY!$D$2:$D$334, "Non-Stage", PROGRAM_DIRECTORY!$E$2:$E$334, "Individual"))</f>
        <v>0</v>
      </c>
      <c r="H288" s="75">
        <f>SUMPRODUCT(COUNTIFS(PROGRAM_DIRECTORY!$A$2:$A$334, $N288:$AB288, PROGRAM_DIRECTORY!$D$2:$D$334, "Stage", PROGRAM_DIRECTORY!$E$2:$E$334, "Individual"))</f>
        <v>0</v>
      </c>
      <c r="I288" s="75">
        <f>SUMPRODUCT(COUNTIFS(PROGRAM_DIRECTORY!$A$2:$A$334, $N288:$AB288, PROGRAM_DIRECTORY!$D$2:$D$334, "Sports"))</f>
        <v>0</v>
      </c>
      <c r="J288" s="75">
        <f>SUMPRODUCT(COUNTIFS(PROGRAM_DIRECTORY!$A$2:$A$334, $N288:$AB288, PROGRAM_DIRECTORY!$E$2:$E$334, "Individual"))</f>
        <v>0</v>
      </c>
      <c r="K288" s="75">
        <f>SUMPRODUCT(COUNTIFS(PROGRAM_DIRECTORY!$A$2:$A$334, $N288:$AB288, PROGRAM_DIRECTORY!$E$2:$E$334, "Group"))</f>
        <v>0</v>
      </c>
      <c r="L288" s="75">
        <f t="shared" si="1"/>
        <v>0</v>
      </c>
      <c r="M288" s="75" t="str">
        <f t="shared" si="2"/>
        <v>Min 1 Required (Stage &amp; Non-Stage)</v>
      </c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AC288" s="79" t="str">
        <f t="shared" si="3"/>
        <v/>
      </c>
    </row>
    <row r="289">
      <c r="A289" s="74">
        <v>482.0</v>
      </c>
      <c r="B289" s="74" t="s">
        <v>943</v>
      </c>
      <c r="C289" s="74">
        <v>1.0</v>
      </c>
      <c r="D289" s="74" t="s">
        <v>2</v>
      </c>
      <c r="E289" s="74" t="s">
        <v>450</v>
      </c>
      <c r="F289" s="74" t="s">
        <v>622</v>
      </c>
      <c r="G289" s="75">
        <f>SUMPRODUCT(COUNTIFS(PROGRAM_DIRECTORY!$A$2:$A$334, $N289:$AB289, PROGRAM_DIRECTORY!$D$2:$D$334, "Non-Stage", PROGRAM_DIRECTORY!$E$2:$E$334, "Individual"))</f>
        <v>0</v>
      </c>
      <c r="H289" s="75">
        <f>SUMPRODUCT(COUNTIFS(PROGRAM_DIRECTORY!$A$2:$A$334, $N289:$AB289, PROGRAM_DIRECTORY!$D$2:$D$334, "Stage", PROGRAM_DIRECTORY!$E$2:$E$334, "Individual"))</f>
        <v>0</v>
      </c>
      <c r="I289" s="75">
        <f>SUMPRODUCT(COUNTIFS(PROGRAM_DIRECTORY!$A$2:$A$334, $N289:$AB289, PROGRAM_DIRECTORY!$D$2:$D$334, "Sports"))</f>
        <v>0</v>
      </c>
      <c r="J289" s="75">
        <f>SUMPRODUCT(COUNTIFS(PROGRAM_DIRECTORY!$A$2:$A$334, $N289:$AB289, PROGRAM_DIRECTORY!$E$2:$E$334, "Individual"))</f>
        <v>0</v>
      </c>
      <c r="K289" s="75">
        <f>SUMPRODUCT(COUNTIFS(PROGRAM_DIRECTORY!$A$2:$A$334, $N289:$AB289, PROGRAM_DIRECTORY!$E$2:$E$334, "Group"))</f>
        <v>0</v>
      </c>
      <c r="L289" s="75">
        <f t="shared" si="1"/>
        <v>0</v>
      </c>
      <c r="M289" s="75" t="str">
        <f t="shared" si="2"/>
        <v>Min 1 Required (Stage &amp; Non-Stage)</v>
      </c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AC289" s="79" t="str">
        <f t="shared" si="3"/>
        <v/>
      </c>
    </row>
    <row r="290">
      <c r="A290" s="74">
        <v>483.0</v>
      </c>
      <c r="B290" s="74" t="s">
        <v>944</v>
      </c>
      <c r="C290" s="74">
        <v>1.0</v>
      </c>
      <c r="D290" s="74" t="s">
        <v>2</v>
      </c>
      <c r="E290" s="74" t="s">
        <v>195</v>
      </c>
      <c r="F290" s="74" t="s">
        <v>622</v>
      </c>
      <c r="G290" s="75">
        <f>SUMPRODUCT(COUNTIFS(PROGRAM_DIRECTORY!$A$2:$A$334, $N290:$AB290, PROGRAM_DIRECTORY!$D$2:$D$334, "Non-Stage", PROGRAM_DIRECTORY!$E$2:$E$334, "Individual"))</f>
        <v>0</v>
      </c>
      <c r="H290" s="75">
        <f>SUMPRODUCT(COUNTIFS(PROGRAM_DIRECTORY!$A$2:$A$334, $N290:$AB290, PROGRAM_DIRECTORY!$D$2:$D$334, "Stage", PROGRAM_DIRECTORY!$E$2:$E$334, "Individual"))</f>
        <v>0</v>
      </c>
      <c r="I290" s="75">
        <f>SUMPRODUCT(COUNTIFS(PROGRAM_DIRECTORY!$A$2:$A$334, $N290:$AB290, PROGRAM_DIRECTORY!$D$2:$D$334, "Sports"))</f>
        <v>0</v>
      </c>
      <c r="J290" s="75">
        <f>SUMPRODUCT(COUNTIFS(PROGRAM_DIRECTORY!$A$2:$A$334, $N290:$AB290, PROGRAM_DIRECTORY!$E$2:$E$334, "Individual"))</f>
        <v>0</v>
      </c>
      <c r="K290" s="75">
        <f>SUMPRODUCT(COUNTIFS(PROGRAM_DIRECTORY!$A$2:$A$334, $N290:$AB290, PROGRAM_DIRECTORY!$E$2:$E$334, "Group"))</f>
        <v>0</v>
      </c>
      <c r="L290" s="75">
        <f t="shared" si="1"/>
        <v>0</v>
      </c>
      <c r="M290" s="75" t="str">
        <f t="shared" si="2"/>
        <v>Min 1 Required (Stage &amp; Non-Stage)</v>
      </c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AC290" s="79" t="str">
        <f t="shared" si="3"/>
        <v/>
      </c>
    </row>
    <row r="291">
      <c r="A291" s="74">
        <v>484.0</v>
      </c>
      <c r="B291" s="74" t="s">
        <v>945</v>
      </c>
      <c r="C291" s="74">
        <v>1.0</v>
      </c>
      <c r="D291" s="74" t="s">
        <v>2</v>
      </c>
      <c r="E291" s="74" t="s">
        <v>331</v>
      </c>
      <c r="F291" s="74" t="s">
        <v>622</v>
      </c>
      <c r="G291" s="75">
        <f>SUMPRODUCT(COUNTIFS(PROGRAM_DIRECTORY!$A$2:$A$334, $N291:$AB291, PROGRAM_DIRECTORY!$D$2:$D$334, "Non-Stage", PROGRAM_DIRECTORY!$E$2:$E$334, "Individual"))</f>
        <v>0</v>
      </c>
      <c r="H291" s="75">
        <f>SUMPRODUCT(COUNTIFS(PROGRAM_DIRECTORY!$A$2:$A$334, $N291:$AB291, PROGRAM_DIRECTORY!$D$2:$D$334, "Stage", PROGRAM_DIRECTORY!$E$2:$E$334, "Individual"))</f>
        <v>0</v>
      </c>
      <c r="I291" s="75">
        <f>SUMPRODUCT(COUNTIFS(PROGRAM_DIRECTORY!$A$2:$A$334, $N291:$AB291, PROGRAM_DIRECTORY!$D$2:$D$334, "Sports"))</f>
        <v>0</v>
      </c>
      <c r="J291" s="75">
        <f>SUMPRODUCT(COUNTIFS(PROGRAM_DIRECTORY!$A$2:$A$334, $N291:$AB291, PROGRAM_DIRECTORY!$E$2:$E$334, "Individual"))</f>
        <v>0</v>
      </c>
      <c r="K291" s="75">
        <f>SUMPRODUCT(COUNTIFS(PROGRAM_DIRECTORY!$A$2:$A$334, $N291:$AB291, PROGRAM_DIRECTORY!$E$2:$E$334, "Group"))</f>
        <v>0</v>
      </c>
      <c r="L291" s="75">
        <f t="shared" si="1"/>
        <v>0</v>
      </c>
      <c r="M291" s="75" t="str">
        <f t="shared" si="2"/>
        <v>Min 1 Required (Stage &amp; Non-Stage)</v>
      </c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AC291" s="79" t="str">
        <f t="shared" si="3"/>
        <v/>
      </c>
    </row>
    <row r="292">
      <c r="A292" s="74">
        <v>485.0</v>
      </c>
      <c r="B292" s="74" t="s">
        <v>946</v>
      </c>
      <c r="C292" s="74">
        <v>1.0</v>
      </c>
      <c r="D292" s="74" t="s">
        <v>2</v>
      </c>
      <c r="E292" s="74" t="s">
        <v>380</v>
      </c>
      <c r="F292" s="74" t="s">
        <v>622</v>
      </c>
      <c r="G292" s="75">
        <f>SUMPRODUCT(COUNTIFS(PROGRAM_DIRECTORY!$A$2:$A$334, $N292:$AB292, PROGRAM_DIRECTORY!$D$2:$D$334, "Non-Stage", PROGRAM_DIRECTORY!$E$2:$E$334, "Individual"))</f>
        <v>0</v>
      </c>
      <c r="H292" s="75">
        <f>SUMPRODUCT(COUNTIFS(PROGRAM_DIRECTORY!$A$2:$A$334, $N292:$AB292, PROGRAM_DIRECTORY!$D$2:$D$334, "Stage", PROGRAM_DIRECTORY!$E$2:$E$334, "Individual"))</f>
        <v>0</v>
      </c>
      <c r="I292" s="75">
        <f>SUMPRODUCT(COUNTIFS(PROGRAM_DIRECTORY!$A$2:$A$334, $N292:$AB292, PROGRAM_DIRECTORY!$D$2:$D$334, "Sports"))</f>
        <v>0</v>
      </c>
      <c r="J292" s="75">
        <f>SUMPRODUCT(COUNTIFS(PROGRAM_DIRECTORY!$A$2:$A$334, $N292:$AB292, PROGRAM_DIRECTORY!$E$2:$E$334, "Individual"))</f>
        <v>0</v>
      </c>
      <c r="K292" s="75">
        <f>SUMPRODUCT(COUNTIFS(PROGRAM_DIRECTORY!$A$2:$A$334, $N292:$AB292, PROGRAM_DIRECTORY!$E$2:$E$334, "Group"))</f>
        <v>0</v>
      </c>
      <c r="L292" s="75">
        <f t="shared" si="1"/>
        <v>0</v>
      </c>
      <c r="M292" s="75" t="str">
        <f t="shared" si="2"/>
        <v>Min 1 Required (Stage &amp; Non-Stage)</v>
      </c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AC292" s="79" t="str">
        <f t="shared" si="3"/>
        <v/>
      </c>
    </row>
    <row r="293">
      <c r="A293" s="74">
        <v>486.0</v>
      </c>
      <c r="B293" s="74" t="s">
        <v>947</v>
      </c>
      <c r="C293" s="74">
        <v>1.0</v>
      </c>
      <c r="D293" s="74" t="s">
        <v>2</v>
      </c>
      <c r="E293" s="74" t="s">
        <v>195</v>
      </c>
      <c r="F293" s="74" t="s">
        <v>622</v>
      </c>
      <c r="G293" s="75">
        <f>SUMPRODUCT(COUNTIFS(PROGRAM_DIRECTORY!$A$2:$A$334, $N293:$AB293, PROGRAM_DIRECTORY!$D$2:$D$334, "Non-Stage", PROGRAM_DIRECTORY!$E$2:$E$334, "Individual"))</f>
        <v>0</v>
      </c>
      <c r="H293" s="75">
        <f>SUMPRODUCT(COUNTIFS(PROGRAM_DIRECTORY!$A$2:$A$334, $N293:$AB293, PROGRAM_DIRECTORY!$D$2:$D$334, "Stage", PROGRAM_DIRECTORY!$E$2:$E$334, "Individual"))</f>
        <v>0</v>
      </c>
      <c r="I293" s="75">
        <f>SUMPRODUCT(COUNTIFS(PROGRAM_DIRECTORY!$A$2:$A$334, $N293:$AB293, PROGRAM_DIRECTORY!$D$2:$D$334, "Sports"))</f>
        <v>0</v>
      </c>
      <c r="J293" s="75">
        <f>SUMPRODUCT(COUNTIFS(PROGRAM_DIRECTORY!$A$2:$A$334, $N293:$AB293, PROGRAM_DIRECTORY!$E$2:$E$334, "Individual"))</f>
        <v>0</v>
      </c>
      <c r="K293" s="75">
        <f>SUMPRODUCT(COUNTIFS(PROGRAM_DIRECTORY!$A$2:$A$334, $N293:$AB293, PROGRAM_DIRECTORY!$E$2:$E$334, "Group"))</f>
        <v>0</v>
      </c>
      <c r="L293" s="75">
        <f t="shared" si="1"/>
        <v>0</v>
      </c>
      <c r="M293" s="75" t="str">
        <f t="shared" si="2"/>
        <v>Min 1 Required (Stage &amp; Non-Stage)</v>
      </c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AC293" s="79" t="str">
        <f t="shared" si="3"/>
        <v/>
      </c>
    </row>
    <row r="294">
      <c r="A294" s="74">
        <v>487.0</v>
      </c>
      <c r="B294" s="74" t="s">
        <v>948</v>
      </c>
      <c r="C294" s="74">
        <v>1.0</v>
      </c>
      <c r="D294" s="74" t="s">
        <v>2</v>
      </c>
      <c r="E294" s="74" t="s">
        <v>195</v>
      </c>
      <c r="F294" s="74" t="s">
        <v>622</v>
      </c>
      <c r="G294" s="75">
        <f>SUMPRODUCT(COUNTIFS(PROGRAM_DIRECTORY!$A$2:$A$334, $N294:$AB294, PROGRAM_DIRECTORY!$D$2:$D$334, "Non-Stage", PROGRAM_DIRECTORY!$E$2:$E$334, "Individual"))</f>
        <v>0</v>
      </c>
      <c r="H294" s="75">
        <f>SUMPRODUCT(COUNTIFS(PROGRAM_DIRECTORY!$A$2:$A$334, $N294:$AB294, PROGRAM_DIRECTORY!$D$2:$D$334, "Stage", PROGRAM_DIRECTORY!$E$2:$E$334, "Individual"))</f>
        <v>0</v>
      </c>
      <c r="I294" s="75">
        <f>SUMPRODUCT(COUNTIFS(PROGRAM_DIRECTORY!$A$2:$A$334, $N294:$AB294, PROGRAM_DIRECTORY!$D$2:$D$334, "Sports"))</f>
        <v>0</v>
      </c>
      <c r="J294" s="75">
        <f>SUMPRODUCT(COUNTIFS(PROGRAM_DIRECTORY!$A$2:$A$334, $N294:$AB294, PROGRAM_DIRECTORY!$E$2:$E$334, "Individual"))</f>
        <v>0</v>
      </c>
      <c r="K294" s="75">
        <f>SUMPRODUCT(COUNTIFS(PROGRAM_DIRECTORY!$A$2:$A$334, $N294:$AB294, PROGRAM_DIRECTORY!$E$2:$E$334, "Group"))</f>
        <v>0</v>
      </c>
      <c r="L294" s="75">
        <f t="shared" si="1"/>
        <v>0</v>
      </c>
      <c r="M294" s="75" t="str">
        <f t="shared" si="2"/>
        <v>Min 1 Required (Stage &amp; Non-Stage)</v>
      </c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AC294" s="79" t="str">
        <f t="shared" si="3"/>
        <v/>
      </c>
    </row>
  </sheetData>
  <conditionalFormatting sqref="M2:M294">
    <cfRule type="cellIs" dxfId="9" priority="1" stopIfTrue="1" operator="equal">
      <formula>"Compliant"</formula>
    </cfRule>
  </conditionalFormatting>
  <conditionalFormatting sqref="M2:M294">
    <cfRule type="containsText" dxfId="10" priority="2" stopIfTrue="1" operator="containsText" text="Min 1 Required">
      <formula>NOT(ISERROR(SEARCH(("Min 1 Required"),(M2))))</formula>
    </cfRule>
  </conditionalFormatting>
  <conditionalFormatting sqref="M2:M294">
    <cfRule type="containsText" dxfId="11" priority="3" stopIfTrue="1" operator="containsText" text="Quota Exceeded">
      <formula>NOT(ISERROR(SEARCH(("Quota Exceeded"),(M2))))</formula>
    </cfRule>
  </conditionalFormatting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25"/>
    <col customWidth="1" min="2" max="2" width="29.5"/>
    <col customWidth="1" min="3" max="3" width="12.25"/>
    <col customWidth="1" min="4" max="4" width="7.75"/>
    <col customWidth="1" min="5" max="5" width="7.88"/>
    <col customWidth="1" min="6" max="6" width="5.25"/>
    <col customWidth="1" min="7" max="7" width="8.88"/>
    <col customWidth="1" min="8" max="8" width="13.38"/>
    <col customWidth="1" min="9" max="9" width="19.63"/>
    <col customWidth="1" min="10" max="10" width="5.63"/>
  </cols>
  <sheetData>
    <row r="1">
      <c r="A1" s="69" t="s">
        <v>10</v>
      </c>
      <c r="B1" s="69" t="s">
        <v>611</v>
      </c>
      <c r="C1" s="69" t="s">
        <v>612</v>
      </c>
      <c r="D1" s="69" t="s">
        <v>613</v>
      </c>
      <c r="E1" s="69" t="s">
        <v>614</v>
      </c>
      <c r="F1" s="69" t="s">
        <v>615</v>
      </c>
      <c r="G1" s="69" t="s">
        <v>616</v>
      </c>
      <c r="H1" s="69" t="s">
        <v>617</v>
      </c>
      <c r="I1" s="69" t="s">
        <v>618</v>
      </c>
      <c r="J1" s="69" t="s">
        <v>619</v>
      </c>
    </row>
    <row r="2">
      <c r="A2" s="70" t="s">
        <v>13</v>
      </c>
      <c r="B2" s="70" t="s">
        <v>14</v>
      </c>
      <c r="C2" s="70" t="s">
        <v>2</v>
      </c>
      <c r="D2" s="70" t="s">
        <v>620</v>
      </c>
      <c r="E2" s="70" t="s">
        <v>621</v>
      </c>
      <c r="F2" s="70">
        <v>1.0</v>
      </c>
      <c r="G2" s="70">
        <v>1.0</v>
      </c>
      <c r="H2" s="70">
        <v>1.0</v>
      </c>
      <c r="I2" s="70" t="s">
        <v>2</v>
      </c>
      <c r="J2" s="70" t="s">
        <v>622</v>
      </c>
    </row>
    <row r="3">
      <c r="A3" s="70" t="s">
        <v>32</v>
      </c>
      <c r="B3" s="70" t="s">
        <v>33</v>
      </c>
      <c r="C3" s="70" t="s">
        <v>2</v>
      </c>
      <c r="D3" s="70" t="s">
        <v>620</v>
      </c>
      <c r="E3" s="70" t="s">
        <v>621</v>
      </c>
      <c r="F3" s="70">
        <v>1.0</v>
      </c>
      <c r="G3" s="70">
        <v>1.0</v>
      </c>
      <c r="H3" s="70">
        <v>1.0</v>
      </c>
      <c r="I3" s="70" t="s">
        <v>2</v>
      </c>
      <c r="J3" s="70" t="s">
        <v>622</v>
      </c>
    </row>
    <row r="4">
      <c r="A4" s="70" t="s">
        <v>50</v>
      </c>
      <c r="B4" s="70" t="s">
        <v>52</v>
      </c>
      <c r="C4" s="70" t="s">
        <v>2</v>
      </c>
      <c r="D4" s="70" t="s">
        <v>620</v>
      </c>
      <c r="E4" s="70" t="s">
        <v>621</v>
      </c>
      <c r="F4" s="70">
        <v>1.0</v>
      </c>
      <c r="G4" s="70">
        <v>1.0</v>
      </c>
      <c r="H4" s="70">
        <v>1.0</v>
      </c>
      <c r="I4" s="70" t="s">
        <v>2</v>
      </c>
      <c r="J4" s="70" t="s">
        <v>622</v>
      </c>
    </row>
    <row r="5">
      <c r="A5" s="70" t="s">
        <v>71</v>
      </c>
      <c r="B5" s="70" t="s">
        <v>55</v>
      </c>
      <c r="C5" s="70" t="s">
        <v>2</v>
      </c>
      <c r="D5" s="70" t="s">
        <v>620</v>
      </c>
      <c r="E5" s="70" t="s">
        <v>621</v>
      </c>
      <c r="F5" s="70">
        <v>1.0</v>
      </c>
      <c r="G5" s="70">
        <v>1.0</v>
      </c>
      <c r="H5" s="70">
        <v>1.0</v>
      </c>
      <c r="I5" s="70" t="s">
        <v>2</v>
      </c>
      <c r="J5" s="70" t="s">
        <v>622</v>
      </c>
    </row>
    <row r="6">
      <c r="A6" s="70" t="s">
        <v>97</v>
      </c>
      <c r="B6" s="70" t="s">
        <v>98</v>
      </c>
      <c r="C6" s="70" t="s">
        <v>2</v>
      </c>
      <c r="D6" s="70" t="s">
        <v>620</v>
      </c>
      <c r="E6" s="70" t="s">
        <v>621</v>
      </c>
      <c r="F6" s="70">
        <v>1.0</v>
      </c>
      <c r="G6" s="70">
        <v>1.0</v>
      </c>
      <c r="H6" s="70">
        <v>1.0</v>
      </c>
      <c r="I6" s="70" t="s">
        <v>2</v>
      </c>
      <c r="J6" s="70" t="s">
        <v>622</v>
      </c>
    </row>
    <row r="7">
      <c r="A7" s="70" t="s">
        <v>120</v>
      </c>
      <c r="B7" s="70" t="s">
        <v>61</v>
      </c>
      <c r="C7" s="70" t="s">
        <v>2</v>
      </c>
      <c r="D7" s="70" t="s">
        <v>620</v>
      </c>
      <c r="E7" s="70" t="s">
        <v>621</v>
      </c>
      <c r="F7" s="70">
        <v>1.0</v>
      </c>
      <c r="G7" s="70">
        <v>1.0</v>
      </c>
      <c r="H7" s="70">
        <v>1.0</v>
      </c>
      <c r="I7" s="70" t="s">
        <v>2</v>
      </c>
      <c r="J7" s="70" t="s">
        <v>622</v>
      </c>
    </row>
    <row r="8">
      <c r="A8" s="70" t="s">
        <v>142</v>
      </c>
      <c r="B8" s="70" t="s">
        <v>143</v>
      </c>
      <c r="C8" s="70" t="s">
        <v>2</v>
      </c>
      <c r="D8" s="70" t="s">
        <v>620</v>
      </c>
      <c r="E8" s="70" t="s">
        <v>621</v>
      </c>
      <c r="F8" s="70">
        <v>1.0</v>
      </c>
      <c r="G8" s="70">
        <v>1.0</v>
      </c>
      <c r="H8" s="70">
        <v>1.0</v>
      </c>
      <c r="I8" s="70" t="s">
        <v>2</v>
      </c>
      <c r="J8" s="70" t="s">
        <v>622</v>
      </c>
    </row>
    <row r="9">
      <c r="A9" s="70" t="s">
        <v>164</v>
      </c>
      <c r="B9" s="70" t="s">
        <v>165</v>
      </c>
      <c r="C9" s="70" t="s">
        <v>2</v>
      </c>
      <c r="D9" s="70" t="s">
        <v>620</v>
      </c>
      <c r="E9" s="70" t="s">
        <v>621</v>
      </c>
      <c r="F9" s="70">
        <v>1.0</v>
      </c>
      <c r="G9" s="70">
        <v>1.0</v>
      </c>
      <c r="H9" s="70">
        <v>1.0</v>
      </c>
      <c r="I9" s="70" t="s">
        <v>2</v>
      </c>
      <c r="J9" s="70" t="s">
        <v>622</v>
      </c>
    </row>
    <row r="10">
      <c r="A10" s="70" t="s">
        <v>189</v>
      </c>
      <c r="B10" s="70" t="s">
        <v>128</v>
      </c>
      <c r="C10" s="70" t="s">
        <v>2</v>
      </c>
      <c r="D10" s="70" t="s">
        <v>620</v>
      </c>
      <c r="E10" s="70" t="s">
        <v>621</v>
      </c>
      <c r="F10" s="70">
        <v>1.0</v>
      </c>
      <c r="G10" s="70">
        <v>1.0</v>
      </c>
      <c r="H10" s="70">
        <v>1.0</v>
      </c>
      <c r="I10" s="70" t="s">
        <v>2</v>
      </c>
      <c r="J10" s="70" t="s">
        <v>622</v>
      </c>
    </row>
    <row r="11">
      <c r="A11" s="70" t="s">
        <v>215</v>
      </c>
      <c r="B11" s="70" t="s">
        <v>108</v>
      </c>
      <c r="C11" s="70" t="s">
        <v>2</v>
      </c>
      <c r="D11" s="70" t="s">
        <v>620</v>
      </c>
      <c r="E11" s="70" t="s">
        <v>621</v>
      </c>
      <c r="F11" s="70">
        <v>1.0</v>
      </c>
      <c r="G11" s="70">
        <v>1.0</v>
      </c>
      <c r="H11" s="70">
        <v>1.0</v>
      </c>
      <c r="I11" s="70" t="s">
        <v>2</v>
      </c>
      <c r="J11" s="70" t="s">
        <v>622</v>
      </c>
    </row>
    <row r="12">
      <c r="A12" s="70" t="s">
        <v>237</v>
      </c>
      <c r="B12" s="70" t="s">
        <v>39</v>
      </c>
      <c r="C12" s="70" t="s">
        <v>2</v>
      </c>
      <c r="D12" s="70" t="s">
        <v>620</v>
      </c>
      <c r="E12" s="70" t="s">
        <v>621</v>
      </c>
      <c r="F12" s="70">
        <v>1.0</v>
      </c>
      <c r="G12" s="70">
        <v>1.0</v>
      </c>
      <c r="H12" s="70">
        <v>1.0</v>
      </c>
      <c r="I12" s="70" t="s">
        <v>2</v>
      </c>
      <c r="J12" s="70" t="s">
        <v>622</v>
      </c>
    </row>
    <row r="13">
      <c r="A13" s="70" t="s">
        <v>256</v>
      </c>
      <c r="B13" s="70" t="s">
        <v>259</v>
      </c>
      <c r="C13" s="70" t="s">
        <v>2</v>
      </c>
      <c r="D13" s="70" t="s">
        <v>620</v>
      </c>
      <c r="E13" s="70" t="s">
        <v>621</v>
      </c>
      <c r="F13" s="70">
        <v>1.0</v>
      </c>
      <c r="G13" s="70">
        <v>1.0</v>
      </c>
      <c r="H13" s="70">
        <v>1.0</v>
      </c>
      <c r="I13" s="70" t="s">
        <v>2</v>
      </c>
      <c r="J13" s="70" t="s">
        <v>622</v>
      </c>
    </row>
    <row r="14">
      <c r="A14" s="70" t="s">
        <v>274</v>
      </c>
      <c r="B14" s="70" t="s">
        <v>275</v>
      </c>
      <c r="C14" s="70" t="s">
        <v>2</v>
      </c>
      <c r="D14" s="70" t="s">
        <v>620</v>
      </c>
      <c r="E14" s="70" t="s">
        <v>621</v>
      </c>
      <c r="F14" s="70">
        <v>1.0</v>
      </c>
      <c r="G14" s="70">
        <v>1.0</v>
      </c>
      <c r="H14" s="70">
        <v>1.0</v>
      </c>
      <c r="I14" s="70" t="s">
        <v>2</v>
      </c>
      <c r="J14" s="70" t="s">
        <v>622</v>
      </c>
    </row>
    <row r="15">
      <c r="A15" s="70" t="s">
        <v>293</v>
      </c>
      <c r="B15" s="70" t="s">
        <v>294</v>
      </c>
      <c r="C15" s="70" t="s">
        <v>2</v>
      </c>
      <c r="D15" s="70" t="s">
        <v>620</v>
      </c>
      <c r="E15" s="70" t="s">
        <v>621</v>
      </c>
      <c r="F15" s="70">
        <v>1.0</v>
      </c>
      <c r="G15" s="70">
        <v>1.0</v>
      </c>
      <c r="H15" s="70">
        <v>1.0</v>
      </c>
      <c r="I15" s="70" t="s">
        <v>2</v>
      </c>
      <c r="J15" s="70" t="s">
        <v>622</v>
      </c>
    </row>
    <row r="16">
      <c r="A16" s="70" t="s">
        <v>309</v>
      </c>
      <c r="B16" s="70" t="s">
        <v>311</v>
      </c>
      <c r="C16" s="70" t="s">
        <v>2</v>
      </c>
      <c r="D16" s="70" t="s">
        <v>620</v>
      </c>
      <c r="E16" s="70" t="s">
        <v>621</v>
      </c>
      <c r="F16" s="70">
        <v>1.0</v>
      </c>
      <c r="G16" s="70">
        <v>1.0</v>
      </c>
      <c r="H16" s="70">
        <v>1.0</v>
      </c>
      <c r="I16" s="70" t="s">
        <v>2</v>
      </c>
      <c r="J16" s="70" t="s">
        <v>622</v>
      </c>
    </row>
    <row r="17">
      <c r="A17" s="70" t="s">
        <v>328</v>
      </c>
      <c r="B17" s="70" t="s">
        <v>330</v>
      </c>
      <c r="C17" s="70" t="s">
        <v>2</v>
      </c>
      <c r="D17" s="70" t="s">
        <v>620</v>
      </c>
      <c r="E17" s="70" t="s">
        <v>621</v>
      </c>
      <c r="F17" s="70">
        <v>1.0</v>
      </c>
      <c r="G17" s="70">
        <v>1.0</v>
      </c>
      <c r="H17" s="70">
        <v>1.0</v>
      </c>
      <c r="I17" s="70" t="s">
        <v>2</v>
      </c>
      <c r="J17" s="70" t="s">
        <v>622</v>
      </c>
    </row>
    <row r="18">
      <c r="A18" s="70" t="s">
        <v>349</v>
      </c>
      <c r="B18" s="70" t="s">
        <v>315</v>
      </c>
      <c r="C18" s="70" t="s">
        <v>2</v>
      </c>
      <c r="D18" s="70" t="s">
        <v>620</v>
      </c>
      <c r="E18" s="70" t="s">
        <v>621</v>
      </c>
      <c r="F18" s="70">
        <v>2.0</v>
      </c>
      <c r="G18" s="70">
        <v>1.0</v>
      </c>
      <c r="H18" s="70">
        <v>2.0</v>
      </c>
      <c r="I18" s="70" t="s">
        <v>2</v>
      </c>
      <c r="J18" s="70" t="s">
        <v>622</v>
      </c>
    </row>
    <row r="19">
      <c r="A19" s="70" t="s">
        <v>361</v>
      </c>
      <c r="B19" s="70" t="s">
        <v>362</v>
      </c>
      <c r="C19" s="70" t="s">
        <v>2</v>
      </c>
      <c r="D19" s="70" t="s">
        <v>620</v>
      </c>
      <c r="E19" s="70" t="s">
        <v>621</v>
      </c>
      <c r="F19" s="70" t="s">
        <v>94</v>
      </c>
      <c r="G19" s="70">
        <v>2.0</v>
      </c>
      <c r="H19" s="70">
        <v>2.0</v>
      </c>
      <c r="I19" s="70" t="s">
        <v>2</v>
      </c>
      <c r="J19" s="70" t="s">
        <v>622</v>
      </c>
    </row>
    <row r="20">
      <c r="A20" s="70" t="s">
        <v>375</v>
      </c>
      <c r="B20" s="70" t="s">
        <v>376</v>
      </c>
      <c r="C20" s="70" t="s">
        <v>2</v>
      </c>
      <c r="D20" s="70" t="s">
        <v>620</v>
      </c>
      <c r="E20" s="70" t="s">
        <v>647</v>
      </c>
      <c r="F20" s="70" t="s">
        <v>49</v>
      </c>
      <c r="G20" s="70">
        <v>3.0</v>
      </c>
      <c r="H20" s="70">
        <v>3.0</v>
      </c>
      <c r="I20" s="70" t="s">
        <v>2</v>
      </c>
      <c r="J20" s="70" t="s">
        <v>622</v>
      </c>
    </row>
    <row r="21">
      <c r="A21" s="70" t="s">
        <v>387</v>
      </c>
      <c r="B21" s="70" t="s">
        <v>388</v>
      </c>
      <c r="C21" s="70" t="s">
        <v>2</v>
      </c>
      <c r="D21" s="70" t="s">
        <v>620</v>
      </c>
      <c r="E21" s="70" t="s">
        <v>647</v>
      </c>
      <c r="F21" s="70" t="s">
        <v>49</v>
      </c>
      <c r="G21" s="70">
        <v>3.0</v>
      </c>
      <c r="H21" s="70">
        <v>3.0</v>
      </c>
      <c r="I21" s="70" t="s">
        <v>2</v>
      </c>
      <c r="J21" s="70" t="s">
        <v>622</v>
      </c>
    </row>
    <row r="22">
      <c r="A22" s="70" t="s">
        <v>17</v>
      </c>
      <c r="B22" s="70" t="s">
        <v>18</v>
      </c>
      <c r="C22" s="70" t="s">
        <v>4</v>
      </c>
      <c r="D22" s="70" t="s">
        <v>620</v>
      </c>
      <c r="E22" s="70" t="s">
        <v>621</v>
      </c>
      <c r="F22" s="70">
        <v>2.0</v>
      </c>
      <c r="G22" s="70">
        <v>1.0</v>
      </c>
      <c r="H22" s="70">
        <v>2.0</v>
      </c>
      <c r="I22" s="70" t="s">
        <v>4</v>
      </c>
      <c r="J22" s="70" t="s">
        <v>622</v>
      </c>
    </row>
    <row r="23">
      <c r="A23" s="70" t="s">
        <v>35</v>
      </c>
      <c r="B23" s="70" t="s">
        <v>33</v>
      </c>
      <c r="C23" s="70" t="s">
        <v>4</v>
      </c>
      <c r="D23" s="70" t="s">
        <v>620</v>
      </c>
      <c r="E23" s="70" t="s">
        <v>621</v>
      </c>
      <c r="F23" s="70">
        <v>2.0</v>
      </c>
      <c r="G23" s="70">
        <v>1.0</v>
      </c>
      <c r="H23" s="70">
        <v>2.0</v>
      </c>
      <c r="I23" s="70" t="s">
        <v>4</v>
      </c>
      <c r="J23" s="70" t="s">
        <v>622</v>
      </c>
    </row>
    <row r="24">
      <c r="A24" s="70" t="s">
        <v>53</v>
      </c>
      <c r="B24" s="70" t="s">
        <v>55</v>
      </c>
      <c r="C24" s="70" t="s">
        <v>4</v>
      </c>
      <c r="D24" s="70" t="s">
        <v>620</v>
      </c>
      <c r="E24" s="70" t="s">
        <v>621</v>
      </c>
      <c r="F24" s="70">
        <v>2.0</v>
      </c>
      <c r="G24" s="70">
        <v>1.0</v>
      </c>
      <c r="H24" s="70">
        <v>2.0</v>
      </c>
      <c r="I24" s="70" t="s">
        <v>4</v>
      </c>
      <c r="J24" s="70" t="s">
        <v>622</v>
      </c>
    </row>
    <row r="25">
      <c r="A25" s="70" t="s">
        <v>77</v>
      </c>
      <c r="B25" s="70" t="s">
        <v>79</v>
      </c>
      <c r="C25" s="70" t="s">
        <v>4</v>
      </c>
      <c r="D25" s="70" t="s">
        <v>620</v>
      </c>
      <c r="E25" s="70" t="s">
        <v>621</v>
      </c>
      <c r="F25" s="70">
        <v>2.0</v>
      </c>
      <c r="G25" s="70">
        <v>1.0</v>
      </c>
      <c r="H25" s="70">
        <v>2.0</v>
      </c>
      <c r="I25" s="70" t="s">
        <v>4</v>
      </c>
      <c r="J25" s="70" t="s">
        <v>622</v>
      </c>
    </row>
    <row r="26">
      <c r="A26" s="70" t="s">
        <v>101</v>
      </c>
      <c r="B26" s="70" t="s">
        <v>98</v>
      </c>
      <c r="C26" s="70" t="s">
        <v>4</v>
      </c>
      <c r="D26" s="70" t="s">
        <v>620</v>
      </c>
      <c r="E26" s="70" t="s">
        <v>621</v>
      </c>
      <c r="F26" s="70">
        <v>2.0</v>
      </c>
      <c r="G26" s="70">
        <v>1.0</v>
      </c>
      <c r="H26" s="70">
        <v>2.0</v>
      </c>
      <c r="I26" s="70" t="s">
        <v>4</v>
      </c>
      <c r="J26" s="70" t="s">
        <v>622</v>
      </c>
    </row>
    <row r="27">
      <c r="A27" s="70" t="s">
        <v>122</v>
      </c>
      <c r="B27" s="70" t="s">
        <v>61</v>
      </c>
      <c r="C27" s="70" t="s">
        <v>4</v>
      </c>
      <c r="D27" s="70" t="s">
        <v>620</v>
      </c>
      <c r="E27" s="70" t="s">
        <v>621</v>
      </c>
      <c r="F27" s="70">
        <v>2.0</v>
      </c>
      <c r="G27" s="70">
        <v>1.0</v>
      </c>
      <c r="H27" s="70">
        <v>2.0</v>
      </c>
      <c r="I27" s="70" t="s">
        <v>4</v>
      </c>
      <c r="J27" s="70" t="s">
        <v>622</v>
      </c>
    </row>
    <row r="28">
      <c r="A28" s="70" t="s">
        <v>145</v>
      </c>
      <c r="B28" s="70" t="s">
        <v>143</v>
      </c>
      <c r="C28" s="70" t="s">
        <v>4</v>
      </c>
      <c r="D28" s="70" t="s">
        <v>620</v>
      </c>
      <c r="E28" s="70" t="s">
        <v>621</v>
      </c>
      <c r="F28" s="70">
        <v>2.0</v>
      </c>
      <c r="G28" s="70">
        <v>1.0</v>
      </c>
      <c r="H28" s="70">
        <v>2.0</v>
      </c>
      <c r="I28" s="70" t="s">
        <v>4</v>
      </c>
      <c r="J28" s="70" t="s">
        <v>622</v>
      </c>
    </row>
    <row r="29">
      <c r="A29" s="70" t="s">
        <v>167</v>
      </c>
      <c r="B29" s="70" t="s">
        <v>165</v>
      </c>
      <c r="C29" s="70" t="s">
        <v>4</v>
      </c>
      <c r="D29" s="70" t="s">
        <v>620</v>
      </c>
      <c r="E29" s="70" t="s">
        <v>621</v>
      </c>
      <c r="F29" s="70">
        <v>2.0</v>
      </c>
      <c r="G29" s="70">
        <v>1.0</v>
      </c>
      <c r="H29" s="70">
        <v>2.0</v>
      </c>
      <c r="I29" s="70" t="s">
        <v>4</v>
      </c>
      <c r="J29" s="70" t="s">
        <v>622</v>
      </c>
    </row>
    <row r="30">
      <c r="A30" s="70" t="s">
        <v>192</v>
      </c>
      <c r="B30" s="70" t="s">
        <v>128</v>
      </c>
      <c r="C30" s="70" t="s">
        <v>4</v>
      </c>
      <c r="D30" s="70" t="s">
        <v>620</v>
      </c>
      <c r="E30" s="70" t="s">
        <v>621</v>
      </c>
      <c r="F30" s="70">
        <v>2.0</v>
      </c>
      <c r="G30" s="70">
        <v>1.0</v>
      </c>
      <c r="H30" s="70">
        <v>2.0</v>
      </c>
      <c r="I30" s="70" t="s">
        <v>4</v>
      </c>
      <c r="J30" s="70" t="s">
        <v>622</v>
      </c>
    </row>
    <row r="31">
      <c r="A31" s="70" t="s">
        <v>218</v>
      </c>
      <c r="B31" s="70" t="s">
        <v>108</v>
      </c>
      <c r="C31" s="70" t="s">
        <v>4</v>
      </c>
      <c r="D31" s="70" t="s">
        <v>620</v>
      </c>
      <c r="E31" s="70" t="s">
        <v>621</v>
      </c>
      <c r="F31" s="70">
        <v>2.0</v>
      </c>
      <c r="G31" s="70">
        <v>1.0</v>
      </c>
      <c r="H31" s="70">
        <v>2.0</v>
      </c>
      <c r="I31" s="70" t="s">
        <v>4</v>
      </c>
      <c r="J31" s="70" t="s">
        <v>622</v>
      </c>
    </row>
    <row r="32">
      <c r="A32" s="70" t="s">
        <v>240</v>
      </c>
      <c r="B32" s="70" t="s">
        <v>39</v>
      </c>
      <c r="C32" s="70" t="s">
        <v>4</v>
      </c>
      <c r="D32" s="70" t="s">
        <v>620</v>
      </c>
      <c r="E32" s="70" t="s">
        <v>621</v>
      </c>
      <c r="F32" s="70">
        <v>2.0</v>
      </c>
      <c r="G32" s="70">
        <v>1.0</v>
      </c>
      <c r="H32" s="70">
        <v>2.0</v>
      </c>
      <c r="I32" s="70" t="s">
        <v>4</v>
      </c>
      <c r="J32" s="70" t="s">
        <v>622</v>
      </c>
    </row>
    <row r="33">
      <c r="A33" s="70" t="s">
        <v>260</v>
      </c>
      <c r="B33" s="70" t="s">
        <v>244</v>
      </c>
      <c r="C33" s="70" t="s">
        <v>4</v>
      </c>
      <c r="D33" s="70" t="s">
        <v>620</v>
      </c>
      <c r="E33" s="70" t="s">
        <v>621</v>
      </c>
      <c r="F33" s="70">
        <v>2.0</v>
      </c>
      <c r="G33" s="70">
        <v>1.0</v>
      </c>
      <c r="H33" s="70">
        <v>2.0</v>
      </c>
      <c r="I33" s="70" t="s">
        <v>4</v>
      </c>
      <c r="J33" s="70" t="s">
        <v>622</v>
      </c>
    </row>
    <row r="34">
      <c r="A34" s="70" t="s">
        <v>276</v>
      </c>
      <c r="B34" s="70" t="s">
        <v>278</v>
      </c>
      <c r="C34" s="70" t="s">
        <v>4</v>
      </c>
      <c r="D34" s="70" t="s">
        <v>620</v>
      </c>
      <c r="E34" s="70" t="s">
        <v>621</v>
      </c>
      <c r="F34" s="70">
        <v>2.0</v>
      </c>
      <c r="G34" s="70">
        <v>1.0</v>
      </c>
      <c r="H34" s="70">
        <v>2.0</v>
      </c>
      <c r="I34" s="70" t="s">
        <v>4</v>
      </c>
      <c r="J34" s="70" t="s">
        <v>622</v>
      </c>
    </row>
    <row r="35">
      <c r="A35" s="70" t="s">
        <v>297</v>
      </c>
      <c r="B35" s="70" t="s">
        <v>298</v>
      </c>
      <c r="C35" s="70" t="s">
        <v>4</v>
      </c>
      <c r="D35" s="70" t="s">
        <v>620</v>
      </c>
      <c r="E35" s="70" t="s">
        <v>621</v>
      </c>
      <c r="F35" s="70">
        <v>2.0</v>
      </c>
      <c r="G35" s="70">
        <v>1.0</v>
      </c>
      <c r="H35" s="70">
        <v>2.0</v>
      </c>
      <c r="I35" s="70" t="s">
        <v>4</v>
      </c>
      <c r="J35" s="70" t="s">
        <v>622</v>
      </c>
    </row>
    <row r="36">
      <c r="A36" s="70" t="s">
        <v>313</v>
      </c>
      <c r="B36" s="70" t="s">
        <v>315</v>
      </c>
      <c r="C36" s="70" t="s">
        <v>4</v>
      </c>
      <c r="D36" s="70" t="s">
        <v>620</v>
      </c>
      <c r="E36" s="70" t="s">
        <v>621</v>
      </c>
      <c r="F36" s="70">
        <v>2.0</v>
      </c>
      <c r="G36" s="70">
        <v>1.0</v>
      </c>
      <c r="H36" s="70">
        <v>2.0</v>
      </c>
      <c r="I36" s="70" t="s">
        <v>4</v>
      </c>
      <c r="J36" s="70" t="s">
        <v>622</v>
      </c>
    </row>
    <row r="37">
      <c r="A37" s="70" t="s">
        <v>340</v>
      </c>
      <c r="B37" s="70" t="s">
        <v>190</v>
      </c>
      <c r="C37" s="70" t="s">
        <v>4</v>
      </c>
      <c r="D37" s="70" t="s">
        <v>620</v>
      </c>
      <c r="E37" s="70" t="s">
        <v>621</v>
      </c>
      <c r="F37" s="70">
        <v>2.0</v>
      </c>
      <c r="G37" s="70">
        <v>1.0</v>
      </c>
      <c r="H37" s="70">
        <v>2.0</v>
      </c>
      <c r="I37" s="70" t="s">
        <v>4</v>
      </c>
      <c r="J37" s="70" t="s">
        <v>622</v>
      </c>
    </row>
    <row r="38">
      <c r="A38" s="70" t="s">
        <v>351</v>
      </c>
      <c r="B38" s="70" t="s">
        <v>352</v>
      </c>
      <c r="C38" s="70" t="s">
        <v>4</v>
      </c>
      <c r="D38" s="70" t="s">
        <v>620</v>
      </c>
      <c r="E38" s="70" t="s">
        <v>621</v>
      </c>
      <c r="F38" s="70">
        <v>2.0</v>
      </c>
      <c r="G38" s="70">
        <v>1.0</v>
      </c>
      <c r="H38" s="70">
        <v>2.0</v>
      </c>
      <c r="I38" s="70" t="s">
        <v>4</v>
      </c>
      <c r="J38" s="70" t="s">
        <v>622</v>
      </c>
    </row>
    <row r="39">
      <c r="A39" s="70" t="s">
        <v>363</v>
      </c>
      <c r="B39" s="70" t="s">
        <v>364</v>
      </c>
      <c r="C39" s="70" t="s">
        <v>4</v>
      </c>
      <c r="D39" s="70" t="s">
        <v>620</v>
      </c>
      <c r="E39" s="70" t="s">
        <v>621</v>
      </c>
      <c r="F39" s="70">
        <v>2.0</v>
      </c>
      <c r="G39" s="70">
        <v>1.0</v>
      </c>
      <c r="H39" s="70">
        <v>2.0</v>
      </c>
      <c r="I39" s="70" t="s">
        <v>4</v>
      </c>
      <c r="J39" s="70" t="s">
        <v>622</v>
      </c>
    </row>
    <row r="40">
      <c r="A40" s="70" t="s">
        <v>377</v>
      </c>
      <c r="B40" s="70" t="s">
        <v>330</v>
      </c>
      <c r="C40" s="70" t="s">
        <v>4</v>
      </c>
      <c r="D40" s="70" t="s">
        <v>620</v>
      </c>
      <c r="E40" s="70" t="s">
        <v>621</v>
      </c>
      <c r="F40" s="70">
        <v>2.0</v>
      </c>
      <c r="G40" s="70">
        <v>1.0</v>
      </c>
      <c r="H40" s="70">
        <v>2.0</v>
      </c>
      <c r="I40" s="70" t="s">
        <v>4</v>
      </c>
      <c r="J40" s="70" t="s">
        <v>622</v>
      </c>
    </row>
    <row r="41">
      <c r="A41" s="70" t="s">
        <v>389</v>
      </c>
      <c r="B41" s="70" t="s">
        <v>390</v>
      </c>
      <c r="C41" s="70" t="s">
        <v>4</v>
      </c>
      <c r="D41" s="70" t="s">
        <v>620</v>
      </c>
      <c r="E41" s="70" t="s">
        <v>621</v>
      </c>
      <c r="F41" s="70">
        <v>2.0</v>
      </c>
      <c r="G41" s="70">
        <v>1.0</v>
      </c>
      <c r="H41" s="70">
        <v>2.0</v>
      </c>
      <c r="I41" s="70" t="s">
        <v>4</v>
      </c>
      <c r="J41" s="70" t="s">
        <v>622</v>
      </c>
    </row>
    <row r="42">
      <c r="A42" s="70" t="s">
        <v>400</v>
      </c>
      <c r="B42" s="70" t="s">
        <v>401</v>
      </c>
      <c r="C42" s="70" t="s">
        <v>4</v>
      </c>
      <c r="D42" s="70" t="s">
        <v>620</v>
      </c>
      <c r="E42" s="70" t="s">
        <v>621</v>
      </c>
      <c r="F42" s="70">
        <v>2.0</v>
      </c>
      <c r="G42" s="70">
        <v>1.0</v>
      </c>
      <c r="H42" s="70">
        <v>2.0</v>
      </c>
      <c r="I42" s="70" t="s">
        <v>4</v>
      </c>
      <c r="J42" s="70" t="s">
        <v>622</v>
      </c>
    </row>
    <row r="43">
      <c r="A43" s="70" t="s">
        <v>411</v>
      </c>
      <c r="B43" s="70" t="s">
        <v>412</v>
      </c>
      <c r="C43" s="70" t="s">
        <v>4</v>
      </c>
      <c r="D43" s="70" t="s">
        <v>620</v>
      </c>
      <c r="E43" s="70" t="s">
        <v>621</v>
      </c>
      <c r="F43" s="70">
        <v>2.0</v>
      </c>
      <c r="G43" s="70">
        <v>1.0</v>
      </c>
      <c r="H43" s="70">
        <v>2.0</v>
      </c>
      <c r="I43" s="70" t="s">
        <v>4</v>
      </c>
      <c r="J43" s="70" t="s">
        <v>622</v>
      </c>
    </row>
    <row r="44">
      <c r="A44" s="70" t="s">
        <v>421</v>
      </c>
      <c r="B44" s="70" t="s">
        <v>423</v>
      </c>
      <c r="C44" s="70" t="s">
        <v>4</v>
      </c>
      <c r="D44" s="70" t="s">
        <v>620</v>
      </c>
      <c r="E44" s="70" t="s">
        <v>621</v>
      </c>
      <c r="F44" s="70" t="s">
        <v>94</v>
      </c>
      <c r="G44" s="70">
        <v>2.0</v>
      </c>
      <c r="H44" s="70">
        <v>2.0</v>
      </c>
      <c r="I44" s="70" t="s">
        <v>4</v>
      </c>
      <c r="J44" s="70" t="s">
        <v>622</v>
      </c>
    </row>
    <row r="45">
      <c r="A45" s="70" t="s">
        <v>429</v>
      </c>
      <c r="B45" s="70" t="s">
        <v>430</v>
      </c>
      <c r="C45" s="70" t="s">
        <v>4</v>
      </c>
      <c r="D45" s="70" t="s">
        <v>620</v>
      </c>
      <c r="E45" s="70" t="s">
        <v>621</v>
      </c>
      <c r="F45" s="70" t="s">
        <v>94</v>
      </c>
      <c r="G45" s="70">
        <v>2.0</v>
      </c>
      <c r="H45" s="70">
        <v>2.0</v>
      </c>
      <c r="I45" s="70" t="s">
        <v>4</v>
      </c>
      <c r="J45" s="70" t="s">
        <v>622</v>
      </c>
    </row>
    <row r="46">
      <c r="A46" s="70" t="s">
        <v>436</v>
      </c>
      <c r="B46" s="70" t="s">
        <v>437</v>
      </c>
      <c r="C46" s="70" t="s">
        <v>4</v>
      </c>
      <c r="D46" s="70" t="s">
        <v>620</v>
      </c>
      <c r="E46" s="70" t="s">
        <v>621</v>
      </c>
      <c r="F46" s="70" t="s">
        <v>94</v>
      </c>
      <c r="G46" s="70">
        <v>2.0</v>
      </c>
      <c r="H46" s="70">
        <v>2.0</v>
      </c>
      <c r="I46" s="70" t="s">
        <v>4</v>
      </c>
      <c r="J46" s="70" t="s">
        <v>622</v>
      </c>
    </row>
    <row r="47">
      <c r="A47" s="70" t="s">
        <v>443</v>
      </c>
      <c r="B47" s="70" t="s">
        <v>376</v>
      </c>
      <c r="C47" s="70" t="s">
        <v>4</v>
      </c>
      <c r="D47" s="70" t="s">
        <v>620</v>
      </c>
      <c r="E47" s="70" t="s">
        <v>647</v>
      </c>
      <c r="F47" s="70" t="s">
        <v>49</v>
      </c>
      <c r="G47" s="70">
        <v>3.0</v>
      </c>
      <c r="H47" s="70">
        <v>3.0</v>
      </c>
      <c r="I47" s="70" t="s">
        <v>4</v>
      </c>
      <c r="J47" s="70" t="s">
        <v>622</v>
      </c>
    </row>
    <row r="48">
      <c r="A48" s="70" t="s">
        <v>19</v>
      </c>
      <c r="B48" s="70" t="s">
        <v>20</v>
      </c>
      <c r="C48" s="70" t="s">
        <v>5</v>
      </c>
      <c r="D48" s="70" t="s">
        <v>620</v>
      </c>
      <c r="E48" s="70" t="s">
        <v>621</v>
      </c>
      <c r="F48" s="70">
        <v>2.0</v>
      </c>
      <c r="G48" s="70">
        <v>1.0</v>
      </c>
      <c r="H48" s="70">
        <v>2.0</v>
      </c>
      <c r="I48" s="70" t="s">
        <v>5</v>
      </c>
      <c r="J48" s="70" t="s">
        <v>622</v>
      </c>
    </row>
    <row r="49">
      <c r="A49" s="70" t="s">
        <v>38</v>
      </c>
      <c r="B49" s="70" t="s">
        <v>39</v>
      </c>
      <c r="C49" s="70" t="s">
        <v>5</v>
      </c>
      <c r="D49" s="70" t="s">
        <v>620</v>
      </c>
      <c r="E49" s="70" t="s">
        <v>621</v>
      </c>
      <c r="F49" s="70">
        <v>2.0</v>
      </c>
      <c r="G49" s="70">
        <v>1.0</v>
      </c>
      <c r="H49" s="70">
        <v>2.0</v>
      </c>
      <c r="I49" s="70" t="s">
        <v>5</v>
      </c>
      <c r="J49" s="70" t="s">
        <v>622</v>
      </c>
    </row>
    <row r="50">
      <c r="A50" s="70" t="s">
        <v>56</v>
      </c>
      <c r="B50" s="70" t="s">
        <v>58</v>
      </c>
      <c r="C50" s="70" t="s">
        <v>5</v>
      </c>
      <c r="D50" s="70" t="s">
        <v>620</v>
      </c>
      <c r="E50" s="70" t="s">
        <v>621</v>
      </c>
      <c r="F50" s="70">
        <v>2.0</v>
      </c>
      <c r="G50" s="70">
        <v>1.0</v>
      </c>
      <c r="H50" s="70">
        <v>2.0</v>
      </c>
      <c r="I50" s="70" t="s">
        <v>5</v>
      </c>
      <c r="J50" s="70" t="s">
        <v>622</v>
      </c>
    </row>
    <row r="51">
      <c r="A51" s="70" t="s">
        <v>81</v>
      </c>
      <c r="B51" s="70" t="s">
        <v>79</v>
      </c>
      <c r="C51" s="70" t="s">
        <v>5</v>
      </c>
      <c r="D51" s="70" t="s">
        <v>620</v>
      </c>
      <c r="E51" s="70" t="s">
        <v>621</v>
      </c>
      <c r="F51" s="70">
        <v>2.0</v>
      </c>
      <c r="G51" s="70">
        <v>1.0</v>
      </c>
      <c r="H51" s="70">
        <v>2.0</v>
      </c>
      <c r="I51" s="70" t="s">
        <v>5</v>
      </c>
      <c r="J51" s="70" t="s">
        <v>622</v>
      </c>
    </row>
    <row r="52">
      <c r="A52" s="70" t="s">
        <v>103</v>
      </c>
      <c r="B52" s="70" t="s">
        <v>98</v>
      </c>
      <c r="C52" s="70" t="s">
        <v>5</v>
      </c>
      <c r="D52" s="70" t="s">
        <v>620</v>
      </c>
      <c r="E52" s="70" t="s">
        <v>621</v>
      </c>
      <c r="F52" s="70">
        <v>2.0</v>
      </c>
      <c r="G52" s="70">
        <v>1.0</v>
      </c>
      <c r="H52" s="70">
        <v>2.0</v>
      </c>
      <c r="I52" s="70" t="s">
        <v>5</v>
      </c>
      <c r="J52" s="70" t="s">
        <v>622</v>
      </c>
    </row>
    <row r="53">
      <c r="A53" s="70" t="s">
        <v>124</v>
      </c>
      <c r="B53" s="70" t="s">
        <v>61</v>
      </c>
      <c r="C53" s="70" t="s">
        <v>5</v>
      </c>
      <c r="D53" s="70" t="s">
        <v>620</v>
      </c>
      <c r="E53" s="70" t="s">
        <v>621</v>
      </c>
      <c r="F53" s="70">
        <v>2.0</v>
      </c>
      <c r="G53" s="70">
        <v>1.0</v>
      </c>
      <c r="H53" s="70">
        <v>2.0</v>
      </c>
      <c r="I53" s="70" t="s">
        <v>5</v>
      </c>
      <c r="J53" s="70" t="s">
        <v>622</v>
      </c>
    </row>
    <row r="54">
      <c r="A54" s="70" t="s">
        <v>149</v>
      </c>
      <c r="B54" s="70" t="s">
        <v>143</v>
      </c>
      <c r="C54" s="70" t="s">
        <v>5</v>
      </c>
      <c r="D54" s="70" t="s">
        <v>620</v>
      </c>
      <c r="E54" s="70" t="s">
        <v>621</v>
      </c>
      <c r="F54" s="70">
        <v>2.0</v>
      </c>
      <c r="G54" s="70">
        <v>1.0</v>
      </c>
      <c r="H54" s="70">
        <v>2.0</v>
      </c>
      <c r="I54" s="70" t="s">
        <v>5</v>
      </c>
      <c r="J54" s="70" t="s">
        <v>622</v>
      </c>
    </row>
    <row r="55">
      <c r="A55" s="70" t="s">
        <v>170</v>
      </c>
      <c r="B55" s="70" t="s">
        <v>165</v>
      </c>
      <c r="C55" s="70" t="s">
        <v>5</v>
      </c>
      <c r="D55" s="70" t="s">
        <v>620</v>
      </c>
      <c r="E55" s="70" t="s">
        <v>621</v>
      </c>
      <c r="F55" s="70">
        <v>2.0</v>
      </c>
      <c r="G55" s="70">
        <v>1.0</v>
      </c>
      <c r="H55" s="70">
        <v>2.0</v>
      </c>
      <c r="I55" s="70" t="s">
        <v>5</v>
      </c>
      <c r="J55" s="70" t="s">
        <v>622</v>
      </c>
    </row>
    <row r="56">
      <c r="A56" s="70" t="s">
        <v>197</v>
      </c>
      <c r="B56" s="70" t="s">
        <v>128</v>
      </c>
      <c r="C56" s="70" t="s">
        <v>5</v>
      </c>
      <c r="D56" s="70" t="s">
        <v>620</v>
      </c>
      <c r="E56" s="70" t="s">
        <v>621</v>
      </c>
      <c r="F56" s="70">
        <v>2.0</v>
      </c>
      <c r="G56" s="70">
        <v>1.0</v>
      </c>
      <c r="H56" s="70">
        <v>2.0</v>
      </c>
      <c r="I56" s="70" t="s">
        <v>5</v>
      </c>
      <c r="J56" s="70" t="s">
        <v>622</v>
      </c>
    </row>
    <row r="57">
      <c r="A57" s="70" t="s">
        <v>221</v>
      </c>
      <c r="B57" s="70" t="s">
        <v>108</v>
      </c>
      <c r="C57" s="70" t="s">
        <v>5</v>
      </c>
      <c r="D57" s="70" t="s">
        <v>620</v>
      </c>
      <c r="E57" s="70" t="s">
        <v>621</v>
      </c>
      <c r="F57" s="70">
        <v>2.0</v>
      </c>
      <c r="G57" s="70">
        <v>1.0</v>
      </c>
      <c r="H57" s="70">
        <v>2.0</v>
      </c>
      <c r="I57" s="70" t="s">
        <v>5</v>
      </c>
      <c r="J57" s="70" t="s">
        <v>622</v>
      </c>
    </row>
    <row r="58">
      <c r="A58" s="70" t="s">
        <v>242</v>
      </c>
      <c r="B58" s="70" t="s">
        <v>244</v>
      </c>
      <c r="C58" s="70" t="s">
        <v>5</v>
      </c>
      <c r="D58" s="70" t="s">
        <v>620</v>
      </c>
      <c r="E58" s="70" t="s">
        <v>621</v>
      </c>
      <c r="F58" s="70">
        <v>2.0</v>
      </c>
      <c r="G58" s="70">
        <v>1.0</v>
      </c>
      <c r="H58" s="70">
        <v>2.0</v>
      </c>
      <c r="I58" s="70" t="s">
        <v>5</v>
      </c>
      <c r="J58" s="70" t="s">
        <v>622</v>
      </c>
    </row>
    <row r="59">
      <c r="A59" s="70" t="s">
        <v>263</v>
      </c>
      <c r="B59" s="70" t="s">
        <v>264</v>
      </c>
      <c r="C59" s="70" t="s">
        <v>5</v>
      </c>
      <c r="D59" s="70" t="s">
        <v>620</v>
      </c>
      <c r="E59" s="70" t="s">
        <v>621</v>
      </c>
      <c r="F59" s="70">
        <v>2.0</v>
      </c>
      <c r="G59" s="70">
        <v>1.0</v>
      </c>
      <c r="H59" s="70">
        <v>2.0</v>
      </c>
      <c r="I59" s="70" t="s">
        <v>5</v>
      </c>
      <c r="J59" s="70" t="s">
        <v>622</v>
      </c>
    </row>
    <row r="60">
      <c r="A60" s="70" t="s">
        <v>279</v>
      </c>
      <c r="B60" s="70" t="s">
        <v>280</v>
      </c>
      <c r="C60" s="70" t="s">
        <v>5</v>
      </c>
      <c r="D60" s="70" t="s">
        <v>620</v>
      </c>
      <c r="E60" s="70" t="s">
        <v>621</v>
      </c>
      <c r="F60" s="70">
        <v>2.0</v>
      </c>
      <c r="G60" s="70">
        <v>1.0</v>
      </c>
      <c r="H60" s="70">
        <v>2.0</v>
      </c>
      <c r="I60" s="70" t="s">
        <v>5</v>
      </c>
      <c r="J60" s="70" t="s">
        <v>622</v>
      </c>
    </row>
    <row r="61">
      <c r="A61" s="70" t="s">
        <v>300</v>
      </c>
      <c r="B61" s="70" t="s">
        <v>301</v>
      </c>
      <c r="C61" s="70" t="s">
        <v>5</v>
      </c>
      <c r="D61" s="70" t="s">
        <v>620</v>
      </c>
      <c r="E61" s="70" t="s">
        <v>621</v>
      </c>
      <c r="F61" s="70">
        <v>2.0</v>
      </c>
      <c r="G61" s="70">
        <v>1.0</v>
      </c>
      <c r="H61" s="70">
        <v>2.0</v>
      </c>
      <c r="I61" s="70" t="s">
        <v>5</v>
      </c>
      <c r="J61" s="70" t="s">
        <v>622</v>
      </c>
    </row>
    <row r="62">
      <c r="A62" s="70" t="s">
        <v>319</v>
      </c>
      <c r="B62" s="70" t="s">
        <v>298</v>
      </c>
      <c r="C62" s="70" t="s">
        <v>5</v>
      </c>
      <c r="D62" s="70" t="s">
        <v>620</v>
      </c>
      <c r="E62" s="70" t="s">
        <v>621</v>
      </c>
      <c r="F62" s="70">
        <v>2.0</v>
      </c>
      <c r="G62" s="70">
        <v>1.0</v>
      </c>
      <c r="H62" s="70">
        <v>2.0</v>
      </c>
      <c r="I62" s="70" t="s">
        <v>5</v>
      </c>
      <c r="J62" s="70" t="s">
        <v>622</v>
      </c>
    </row>
    <row r="63">
      <c r="A63" s="70" t="s">
        <v>341</v>
      </c>
      <c r="B63" s="70" t="s">
        <v>190</v>
      </c>
      <c r="C63" s="70" t="s">
        <v>5</v>
      </c>
      <c r="D63" s="70" t="s">
        <v>620</v>
      </c>
      <c r="E63" s="70" t="s">
        <v>621</v>
      </c>
      <c r="F63" s="70">
        <v>2.0</v>
      </c>
      <c r="G63" s="70">
        <v>1.0</v>
      </c>
      <c r="H63" s="70">
        <v>2.0</v>
      </c>
      <c r="I63" s="70" t="s">
        <v>5</v>
      </c>
      <c r="J63" s="70" t="s">
        <v>622</v>
      </c>
    </row>
    <row r="64">
      <c r="A64" s="70" t="s">
        <v>353</v>
      </c>
      <c r="B64" s="70" t="s">
        <v>214</v>
      </c>
      <c r="C64" s="70" t="s">
        <v>5</v>
      </c>
      <c r="D64" s="70" t="s">
        <v>620</v>
      </c>
      <c r="E64" s="70" t="s">
        <v>621</v>
      </c>
      <c r="F64" s="70">
        <v>2.0</v>
      </c>
      <c r="G64" s="70">
        <v>1.0</v>
      </c>
      <c r="H64" s="70">
        <v>2.0</v>
      </c>
      <c r="I64" s="70" t="s">
        <v>5</v>
      </c>
      <c r="J64" s="70" t="s">
        <v>622</v>
      </c>
    </row>
    <row r="65">
      <c r="A65" s="70" t="s">
        <v>366</v>
      </c>
      <c r="B65" s="70" t="s">
        <v>367</v>
      </c>
      <c r="C65" s="70" t="s">
        <v>5</v>
      </c>
      <c r="D65" s="70" t="s">
        <v>620</v>
      </c>
      <c r="E65" s="70" t="s">
        <v>621</v>
      </c>
      <c r="F65" s="70">
        <v>2.0</v>
      </c>
      <c r="G65" s="70">
        <v>1.0</v>
      </c>
      <c r="H65" s="70">
        <v>2.0</v>
      </c>
      <c r="I65" s="70" t="s">
        <v>5</v>
      </c>
      <c r="J65" s="70" t="s">
        <v>622</v>
      </c>
    </row>
    <row r="66">
      <c r="A66" s="70" t="s">
        <v>379</v>
      </c>
      <c r="B66" s="70" t="s">
        <v>315</v>
      </c>
      <c r="C66" s="70" t="s">
        <v>5</v>
      </c>
      <c r="D66" s="70" t="s">
        <v>620</v>
      </c>
      <c r="E66" s="70" t="s">
        <v>621</v>
      </c>
      <c r="F66" s="70">
        <v>2.0</v>
      </c>
      <c r="G66" s="70">
        <v>1.0</v>
      </c>
      <c r="H66" s="70">
        <v>2.0</v>
      </c>
      <c r="I66" s="70" t="s">
        <v>5</v>
      </c>
      <c r="J66" s="70" t="s">
        <v>622</v>
      </c>
    </row>
    <row r="67">
      <c r="A67" s="70" t="s">
        <v>391</v>
      </c>
      <c r="B67" s="70" t="s">
        <v>352</v>
      </c>
      <c r="C67" s="70" t="s">
        <v>5</v>
      </c>
      <c r="D67" s="70" t="s">
        <v>620</v>
      </c>
      <c r="E67" s="70" t="s">
        <v>621</v>
      </c>
      <c r="F67" s="70">
        <v>2.0</v>
      </c>
      <c r="G67" s="70">
        <v>1.0</v>
      </c>
      <c r="H67" s="70">
        <v>2.0</v>
      </c>
      <c r="I67" s="70" t="s">
        <v>5</v>
      </c>
      <c r="J67" s="70" t="s">
        <v>622</v>
      </c>
    </row>
    <row r="68">
      <c r="A68" s="70" t="s">
        <v>402</v>
      </c>
      <c r="B68" s="70" t="s">
        <v>403</v>
      </c>
      <c r="C68" s="70" t="s">
        <v>5</v>
      </c>
      <c r="D68" s="70" t="s">
        <v>620</v>
      </c>
      <c r="E68" s="70" t="s">
        <v>621</v>
      </c>
      <c r="F68" s="70">
        <v>2.0</v>
      </c>
      <c r="G68" s="70">
        <v>1.0</v>
      </c>
      <c r="H68" s="70">
        <v>2.0</v>
      </c>
      <c r="I68" s="70" t="s">
        <v>5</v>
      </c>
      <c r="J68" s="70" t="s">
        <v>622</v>
      </c>
    </row>
    <row r="69">
      <c r="A69" s="70" t="s">
        <v>413</v>
      </c>
      <c r="B69" s="70" t="s">
        <v>388</v>
      </c>
      <c r="C69" s="70" t="s">
        <v>5</v>
      </c>
      <c r="D69" s="70" t="s">
        <v>620</v>
      </c>
      <c r="E69" s="70" t="s">
        <v>647</v>
      </c>
      <c r="F69" s="70" t="s">
        <v>49</v>
      </c>
      <c r="G69" s="70">
        <v>3.0</v>
      </c>
      <c r="H69" s="70">
        <v>3.0</v>
      </c>
      <c r="I69" s="70" t="s">
        <v>5</v>
      </c>
      <c r="J69" s="70" t="s">
        <v>622</v>
      </c>
    </row>
    <row r="70">
      <c r="A70" s="70" t="s">
        <v>424</v>
      </c>
      <c r="B70" s="70" t="s">
        <v>376</v>
      </c>
      <c r="C70" s="70" t="s">
        <v>5</v>
      </c>
      <c r="D70" s="70" t="s">
        <v>620</v>
      </c>
      <c r="E70" s="70" t="s">
        <v>647</v>
      </c>
      <c r="F70" s="70" t="s">
        <v>117</v>
      </c>
      <c r="G70" s="70">
        <v>4.0</v>
      </c>
      <c r="H70" s="70">
        <v>4.0</v>
      </c>
      <c r="I70" s="70" t="s">
        <v>5</v>
      </c>
      <c r="J70" s="70" t="s">
        <v>622</v>
      </c>
    </row>
    <row r="71">
      <c r="A71" s="70" t="s">
        <v>21</v>
      </c>
      <c r="B71" s="70" t="s">
        <v>20</v>
      </c>
      <c r="C71" s="70" t="s">
        <v>7</v>
      </c>
      <c r="D71" s="70" t="s">
        <v>620</v>
      </c>
      <c r="E71" s="70" t="s">
        <v>621</v>
      </c>
      <c r="F71" s="70">
        <v>2.0</v>
      </c>
      <c r="G71" s="70">
        <v>1.0</v>
      </c>
      <c r="H71" s="70">
        <v>2.0</v>
      </c>
      <c r="I71" s="70" t="s">
        <v>7</v>
      </c>
      <c r="J71" s="70" t="s">
        <v>622</v>
      </c>
    </row>
    <row r="72">
      <c r="A72" s="70" t="s">
        <v>41</v>
      </c>
      <c r="B72" s="70" t="s">
        <v>39</v>
      </c>
      <c r="C72" s="70" t="s">
        <v>7</v>
      </c>
      <c r="D72" s="70" t="s">
        <v>620</v>
      </c>
      <c r="E72" s="70" t="s">
        <v>621</v>
      </c>
      <c r="F72" s="70">
        <v>2.0</v>
      </c>
      <c r="G72" s="70">
        <v>1.0</v>
      </c>
      <c r="H72" s="70">
        <v>2.0</v>
      </c>
      <c r="I72" s="70" t="s">
        <v>7</v>
      </c>
      <c r="J72" s="70" t="s">
        <v>622</v>
      </c>
    </row>
    <row r="73">
      <c r="A73" s="70" t="s">
        <v>59</v>
      </c>
      <c r="B73" s="70" t="s">
        <v>61</v>
      </c>
      <c r="C73" s="70" t="s">
        <v>7</v>
      </c>
      <c r="D73" s="70" t="s">
        <v>620</v>
      </c>
      <c r="E73" s="70" t="s">
        <v>621</v>
      </c>
      <c r="F73" s="70">
        <v>2.0</v>
      </c>
      <c r="G73" s="70">
        <v>1.0</v>
      </c>
      <c r="H73" s="70">
        <v>2.0</v>
      </c>
      <c r="I73" s="70" t="s">
        <v>7</v>
      </c>
      <c r="J73" s="70" t="s">
        <v>622</v>
      </c>
    </row>
    <row r="74">
      <c r="A74" s="70" t="s">
        <v>84</v>
      </c>
      <c r="B74" s="70" t="s">
        <v>86</v>
      </c>
      <c r="C74" s="70" t="s">
        <v>7</v>
      </c>
      <c r="D74" s="70" t="s">
        <v>620</v>
      </c>
      <c r="E74" s="70" t="s">
        <v>621</v>
      </c>
      <c r="F74" s="70">
        <v>2.0</v>
      </c>
      <c r="G74" s="70">
        <v>1.0</v>
      </c>
      <c r="H74" s="70">
        <v>2.0</v>
      </c>
      <c r="I74" s="70" t="s">
        <v>7</v>
      </c>
      <c r="J74" s="70" t="s">
        <v>622</v>
      </c>
    </row>
    <row r="75">
      <c r="A75" s="70" t="s">
        <v>106</v>
      </c>
      <c r="B75" s="70" t="s">
        <v>108</v>
      </c>
      <c r="C75" s="70" t="s">
        <v>7</v>
      </c>
      <c r="D75" s="70" t="s">
        <v>620</v>
      </c>
      <c r="E75" s="70" t="s">
        <v>621</v>
      </c>
      <c r="F75" s="70">
        <v>2.0</v>
      </c>
      <c r="G75" s="70">
        <v>1.0</v>
      </c>
      <c r="H75" s="70">
        <v>2.0</v>
      </c>
      <c r="I75" s="70" t="s">
        <v>7</v>
      </c>
      <c r="J75" s="70" t="s">
        <v>622</v>
      </c>
    </row>
    <row r="76">
      <c r="A76" s="70" t="s">
        <v>127</v>
      </c>
      <c r="B76" s="70" t="s">
        <v>128</v>
      </c>
      <c r="C76" s="70" t="s">
        <v>7</v>
      </c>
      <c r="D76" s="70" t="s">
        <v>620</v>
      </c>
      <c r="E76" s="70" t="s">
        <v>621</v>
      </c>
      <c r="F76" s="70">
        <v>2.0</v>
      </c>
      <c r="G76" s="70">
        <v>1.0</v>
      </c>
      <c r="H76" s="70">
        <v>2.0</v>
      </c>
      <c r="I76" s="70" t="s">
        <v>7</v>
      </c>
      <c r="J76" s="70" t="s">
        <v>622</v>
      </c>
    </row>
    <row r="77">
      <c r="A77" s="70" t="s">
        <v>151</v>
      </c>
      <c r="B77" s="70" t="s">
        <v>152</v>
      </c>
      <c r="C77" s="70" t="s">
        <v>7</v>
      </c>
      <c r="D77" s="70" t="s">
        <v>620</v>
      </c>
      <c r="E77" s="70" t="s">
        <v>621</v>
      </c>
      <c r="F77" s="70">
        <v>2.0</v>
      </c>
      <c r="G77" s="70">
        <v>1.0</v>
      </c>
      <c r="H77" s="70">
        <v>2.0</v>
      </c>
      <c r="I77" s="70" t="s">
        <v>7</v>
      </c>
      <c r="J77" s="70" t="s">
        <v>622</v>
      </c>
    </row>
    <row r="78">
      <c r="A78" s="70" t="s">
        <v>174</v>
      </c>
      <c r="B78" s="70" t="s">
        <v>177</v>
      </c>
      <c r="C78" s="70" t="s">
        <v>7</v>
      </c>
      <c r="D78" s="70" t="s">
        <v>620</v>
      </c>
      <c r="E78" s="70" t="s">
        <v>621</v>
      </c>
      <c r="F78" s="70">
        <v>2.0</v>
      </c>
      <c r="G78" s="70">
        <v>1.0</v>
      </c>
      <c r="H78" s="70">
        <v>2.0</v>
      </c>
      <c r="I78" s="70" t="s">
        <v>7</v>
      </c>
      <c r="J78" s="70" t="s">
        <v>622</v>
      </c>
    </row>
    <row r="79">
      <c r="A79" s="70" t="s">
        <v>199</v>
      </c>
      <c r="B79" s="70" t="s">
        <v>200</v>
      </c>
      <c r="C79" s="70" t="s">
        <v>7</v>
      </c>
      <c r="D79" s="70" t="s">
        <v>620</v>
      </c>
      <c r="E79" s="70" t="s">
        <v>621</v>
      </c>
      <c r="F79" s="70">
        <v>2.0</v>
      </c>
      <c r="G79" s="70">
        <v>1.0</v>
      </c>
      <c r="H79" s="70">
        <v>2.0</v>
      </c>
      <c r="I79" s="70" t="s">
        <v>7</v>
      </c>
      <c r="J79" s="70" t="s">
        <v>622</v>
      </c>
    </row>
    <row r="80">
      <c r="A80" s="70" t="s">
        <v>223</v>
      </c>
      <c r="B80" s="70" t="s">
        <v>225</v>
      </c>
      <c r="C80" s="70" t="s">
        <v>7</v>
      </c>
      <c r="D80" s="70" t="s">
        <v>620</v>
      </c>
      <c r="E80" s="70" t="s">
        <v>621</v>
      </c>
      <c r="F80" s="70">
        <v>2.0</v>
      </c>
      <c r="G80" s="70">
        <v>1.0</v>
      </c>
      <c r="H80" s="70">
        <v>2.0</v>
      </c>
      <c r="I80" s="70" t="s">
        <v>7</v>
      </c>
      <c r="J80" s="70" t="s">
        <v>622</v>
      </c>
    </row>
    <row r="81">
      <c r="A81" s="70" t="s">
        <v>246</v>
      </c>
      <c r="B81" s="70" t="s">
        <v>247</v>
      </c>
      <c r="C81" s="70" t="s">
        <v>7</v>
      </c>
      <c r="D81" s="70" t="s">
        <v>620</v>
      </c>
      <c r="E81" s="70" t="s">
        <v>621</v>
      </c>
      <c r="F81" s="70">
        <v>2.0</v>
      </c>
      <c r="G81" s="70">
        <v>1.0</v>
      </c>
      <c r="H81" s="70">
        <v>2.0</v>
      </c>
      <c r="I81" s="70" t="s">
        <v>7</v>
      </c>
      <c r="J81" s="70" t="s">
        <v>622</v>
      </c>
    </row>
    <row r="82">
      <c r="A82" s="70" t="s">
        <v>267</v>
      </c>
      <c r="B82" s="70" t="s">
        <v>268</v>
      </c>
      <c r="C82" s="70" t="s">
        <v>7</v>
      </c>
      <c r="D82" s="70" t="s">
        <v>620</v>
      </c>
      <c r="E82" s="70" t="s">
        <v>621</v>
      </c>
      <c r="F82" s="70">
        <v>2.0</v>
      </c>
      <c r="G82" s="70">
        <v>1.0</v>
      </c>
      <c r="H82" s="70">
        <v>2.0</v>
      </c>
      <c r="I82" s="70" t="s">
        <v>7</v>
      </c>
      <c r="J82" s="70" t="s">
        <v>622</v>
      </c>
    </row>
    <row r="83">
      <c r="A83" s="70" t="s">
        <v>283</v>
      </c>
      <c r="B83" s="70" t="s">
        <v>285</v>
      </c>
      <c r="C83" s="70" t="s">
        <v>7</v>
      </c>
      <c r="D83" s="70" t="s">
        <v>620</v>
      </c>
      <c r="E83" s="70" t="s">
        <v>621</v>
      </c>
      <c r="F83" s="70">
        <v>2.0</v>
      </c>
      <c r="G83" s="70">
        <v>1.0</v>
      </c>
      <c r="H83" s="70">
        <v>2.0</v>
      </c>
      <c r="I83" s="70" t="s">
        <v>7</v>
      </c>
      <c r="J83" s="70" t="s">
        <v>622</v>
      </c>
    </row>
    <row r="84">
      <c r="A84" s="70" t="s">
        <v>302</v>
      </c>
      <c r="B84" s="70" t="s">
        <v>304</v>
      </c>
      <c r="C84" s="70" t="s">
        <v>7</v>
      </c>
      <c r="D84" s="70" t="s">
        <v>620</v>
      </c>
      <c r="E84" s="70" t="s">
        <v>621</v>
      </c>
      <c r="F84" s="70">
        <v>2.0</v>
      </c>
      <c r="G84" s="70">
        <v>1.0</v>
      </c>
      <c r="H84" s="70">
        <v>2.0</v>
      </c>
      <c r="I84" s="70" t="s">
        <v>7</v>
      </c>
      <c r="J84" s="70" t="s">
        <v>622</v>
      </c>
    </row>
    <row r="85">
      <c r="A85" s="70" t="s">
        <v>320</v>
      </c>
      <c r="B85" s="70" t="s">
        <v>323</v>
      </c>
      <c r="C85" s="70" t="s">
        <v>7</v>
      </c>
      <c r="D85" s="70" t="s">
        <v>620</v>
      </c>
      <c r="E85" s="70" t="s">
        <v>621</v>
      </c>
      <c r="F85" s="70">
        <v>2.0</v>
      </c>
      <c r="G85" s="70">
        <v>1.0</v>
      </c>
      <c r="H85" s="70">
        <v>2.0</v>
      </c>
      <c r="I85" s="70" t="s">
        <v>7</v>
      </c>
      <c r="J85" s="70" t="s">
        <v>622</v>
      </c>
    </row>
    <row r="86">
      <c r="A86" s="70" t="s">
        <v>343</v>
      </c>
      <c r="B86" s="70" t="s">
        <v>344</v>
      </c>
      <c r="C86" s="70" t="s">
        <v>7</v>
      </c>
      <c r="D86" s="70" t="s">
        <v>620</v>
      </c>
      <c r="E86" s="70" t="s">
        <v>621</v>
      </c>
      <c r="F86" s="70">
        <v>2.0</v>
      </c>
      <c r="G86" s="70">
        <v>1.0</v>
      </c>
      <c r="H86" s="70">
        <v>2.0</v>
      </c>
      <c r="I86" s="70" t="s">
        <v>7</v>
      </c>
      <c r="J86" s="70" t="s">
        <v>622</v>
      </c>
    </row>
    <row r="87">
      <c r="A87" s="70" t="s">
        <v>355</v>
      </c>
      <c r="B87" s="70" t="s">
        <v>357</v>
      </c>
      <c r="C87" s="70" t="s">
        <v>7</v>
      </c>
      <c r="D87" s="70" t="s">
        <v>620</v>
      </c>
      <c r="E87" s="70" t="s">
        <v>621</v>
      </c>
      <c r="F87" s="70">
        <v>2.0</v>
      </c>
      <c r="G87" s="70">
        <v>1.0</v>
      </c>
      <c r="H87" s="70">
        <v>2.0</v>
      </c>
      <c r="I87" s="70" t="s">
        <v>7</v>
      </c>
      <c r="J87" s="70" t="s">
        <v>622</v>
      </c>
    </row>
    <row r="88">
      <c r="A88" s="70" t="s">
        <v>369</v>
      </c>
      <c r="B88" s="70" t="s">
        <v>370</v>
      </c>
      <c r="C88" s="70" t="s">
        <v>7</v>
      </c>
      <c r="D88" s="70" t="s">
        <v>620</v>
      </c>
      <c r="E88" s="70" t="s">
        <v>621</v>
      </c>
      <c r="F88" s="70">
        <v>2.0</v>
      </c>
      <c r="G88" s="70">
        <v>1.0</v>
      </c>
      <c r="H88" s="70">
        <v>2.0</v>
      </c>
      <c r="I88" s="70" t="s">
        <v>7</v>
      </c>
      <c r="J88" s="70" t="s">
        <v>622</v>
      </c>
    </row>
    <row r="89">
      <c r="A89" s="70" t="s">
        <v>381</v>
      </c>
      <c r="B89" s="70" t="s">
        <v>382</v>
      </c>
      <c r="C89" s="70" t="s">
        <v>7</v>
      </c>
      <c r="D89" s="70" t="s">
        <v>620</v>
      </c>
      <c r="E89" s="70" t="s">
        <v>621</v>
      </c>
      <c r="F89" s="70" t="s">
        <v>94</v>
      </c>
      <c r="G89" s="70">
        <v>2.0</v>
      </c>
      <c r="H89" s="70">
        <v>2.0</v>
      </c>
      <c r="I89" s="70" t="s">
        <v>7</v>
      </c>
      <c r="J89" s="70" t="s">
        <v>622</v>
      </c>
    </row>
    <row r="90">
      <c r="A90" s="70" t="s">
        <v>393</v>
      </c>
      <c r="B90" s="70" t="s">
        <v>394</v>
      </c>
      <c r="C90" s="70" t="s">
        <v>7</v>
      </c>
      <c r="D90" s="70" t="s">
        <v>620</v>
      </c>
      <c r="E90" s="70" t="s">
        <v>621</v>
      </c>
      <c r="F90" s="70" t="s">
        <v>94</v>
      </c>
      <c r="G90" s="70">
        <v>2.0</v>
      </c>
      <c r="H90" s="70">
        <v>2.0</v>
      </c>
      <c r="I90" s="70" t="s">
        <v>7</v>
      </c>
      <c r="J90" s="70" t="s">
        <v>622</v>
      </c>
    </row>
    <row r="91">
      <c r="A91" s="70" t="s">
        <v>405</v>
      </c>
      <c r="B91" s="70" t="s">
        <v>406</v>
      </c>
      <c r="C91" s="70" t="s">
        <v>7</v>
      </c>
      <c r="D91" s="70" t="s">
        <v>620</v>
      </c>
      <c r="E91" s="70" t="s">
        <v>647</v>
      </c>
      <c r="F91" s="70" t="s">
        <v>117</v>
      </c>
      <c r="G91" s="70">
        <v>4.0</v>
      </c>
      <c r="H91" s="70">
        <v>4.0</v>
      </c>
      <c r="I91" s="70" t="s">
        <v>7</v>
      </c>
      <c r="J91" s="70" t="s">
        <v>622</v>
      </c>
    </row>
    <row r="92">
      <c r="A92" s="70" t="s">
        <v>414</v>
      </c>
      <c r="B92" s="70" t="s">
        <v>416</v>
      </c>
      <c r="C92" s="70" t="s">
        <v>7</v>
      </c>
      <c r="D92" s="70" t="s">
        <v>620</v>
      </c>
      <c r="E92" s="70" t="s">
        <v>647</v>
      </c>
      <c r="F92" s="70" t="s">
        <v>140</v>
      </c>
      <c r="G92" s="70">
        <v>5.0</v>
      </c>
      <c r="H92" s="70">
        <v>5.0</v>
      </c>
      <c r="I92" s="70" t="s">
        <v>7</v>
      </c>
      <c r="J92" s="70" t="s">
        <v>622</v>
      </c>
    </row>
    <row r="93">
      <c r="A93" s="70" t="s">
        <v>22</v>
      </c>
      <c r="B93" s="70" t="s">
        <v>24</v>
      </c>
      <c r="C93" s="70" t="s">
        <v>8</v>
      </c>
      <c r="D93" s="70" t="s">
        <v>620</v>
      </c>
      <c r="E93" s="70" t="s">
        <v>621</v>
      </c>
      <c r="F93" s="70">
        <v>2.0</v>
      </c>
      <c r="G93" s="70">
        <v>1.0</v>
      </c>
      <c r="H93" s="70">
        <v>2.0</v>
      </c>
      <c r="I93" s="70" t="s">
        <v>8</v>
      </c>
      <c r="J93" s="70" t="s">
        <v>622</v>
      </c>
    </row>
    <row r="94">
      <c r="A94" s="70" t="s">
        <v>43</v>
      </c>
      <c r="B94" s="70" t="s">
        <v>39</v>
      </c>
      <c r="C94" s="70" t="s">
        <v>8</v>
      </c>
      <c r="D94" s="70" t="s">
        <v>620</v>
      </c>
      <c r="E94" s="70" t="s">
        <v>621</v>
      </c>
      <c r="F94" s="70">
        <v>2.0</v>
      </c>
      <c r="G94" s="70">
        <v>1.0</v>
      </c>
      <c r="H94" s="70">
        <v>2.0</v>
      </c>
      <c r="I94" s="70" t="s">
        <v>8</v>
      </c>
      <c r="J94" s="70" t="s">
        <v>622</v>
      </c>
    </row>
    <row r="95">
      <c r="A95" s="70" t="s">
        <v>64</v>
      </c>
      <c r="B95" s="70" t="s">
        <v>65</v>
      </c>
      <c r="C95" s="70" t="s">
        <v>8</v>
      </c>
      <c r="D95" s="70" t="s">
        <v>620</v>
      </c>
      <c r="E95" s="70" t="s">
        <v>621</v>
      </c>
      <c r="F95" s="70">
        <v>2.0</v>
      </c>
      <c r="G95" s="70">
        <v>1.0</v>
      </c>
      <c r="H95" s="70">
        <v>2.0</v>
      </c>
      <c r="I95" s="70" t="s">
        <v>8</v>
      </c>
      <c r="J95" s="70" t="s">
        <v>622</v>
      </c>
    </row>
    <row r="96">
      <c r="A96" s="70" t="s">
        <v>88</v>
      </c>
      <c r="B96" s="70" t="s">
        <v>89</v>
      </c>
      <c r="C96" s="70" t="s">
        <v>8</v>
      </c>
      <c r="D96" s="70" t="s">
        <v>620</v>
      </c>
      <c r="E96" s="70" t="s">
        <v>621</v>
      </c>
      <c r="F96" s="70">
        <v>2.0</v>
      </c>
      <c r="G96" s="70">
        <v>1.0</v>
      </c>
      <c r="H96" s="70">
        <v>2.0</v>
      </c>
      <c r="I96" s="70" t="s">
        <v>8</v>
      </c>
      <c r="J96" s="70" t="s">
        <v>622</v>
      </c>
    </row>
    <row r="97">
      <c r="A97" s="70" t="s">
        <v>110</v>
      </c>
      <c r="B97" s="70" t="s">
        <v>111</v>
      </c>
      <c r="C97" s="70" t="s">
        <v>8</v>
      </c>
      <c r="D97" s="70" t="s">
        <v>620</v>
      </c>
      <c r="E97" s="70" t="s">
        <v>621</v>
      </c>
      <c r="F97" s="70">
        <v>2.0</v>
      </c>
      <c r="G97" s="70">
        <v>1.0</v>
      </c>
      <c r="H97" s="70">
        <v>2.0</v>
      </c>
      <c r="I97" s="70" t="s">
        <v>8</v>
      </c>
      <c r="J97" s="70" t="s">
        <v>622</v>
      </c>
    </row>
    <row r="98">
      <c r="A98" s="70" t="s">
        <v>130</v>
      </c>
      <c r="B98" s="70" t="s">
        <v>133</v>
      </c>
      <c r="C98" s="70" t="s">
        <v>8</v>
      </c>
      <c r="D98" s="70" t="s">
        <v>620</v>
      </c>
      <c r="E98" s="70" t="s">
        <v>621</v>
      </c>
      <c r="F98" s="70">
        <v>2.0</v>
      </c>
      <c r="G98" s="70">
        <v>1.0</v>
      </c>
      <c r="H98" s="70">
        <v>2.0</v>
      </c>
      <c r="I98" s="70" t="s">
        <v>8</v>
      </c>
      <c r="J98" s="70" t="s">
        <v>622</v>
      </c>
    </row>
    <row r="99">
      <c r="A99" s="70" t="s">
        <v>155</v>
      </c>
      <c r="B99" s="70" t="s">
        <v>156</v>
      </c>
      <c r="C99" s="70" t="s">
        <v>8</v>
      </c>
      <c r="D99" s="70" t="s">
        <v>620</v>
      </c>
      <c r="E99" s="70" t="s">
        <v>621</v>
      </c>
      <c r="F99" s="70">
        <v>2.0</v>
      </c>
      <c r="G99" s="70">
        <v>1.0</v>
      </c>
      <c r="H99" s="70">
        <v>2.0</v>
      </c>
      <c r="I99" s="70" t="s">
        <v>8</v>
      </c>
      <c r="J99" s="70" t="s">
        <v>622</v>
      </c>
    </row>
    <row r="100">
      <c r="A100" s="70" t="s">
        <v>178</v>
      </c>
      <c r="B100" s="70" t="s">
        <v>181</v>
      </c>
      <c r="C100" s="70" t="s">
        <v>8</v>
      </c>
      <c r="D100" s="70" t="s">
        <v>620</v>
      </c>
      <c r="E100" s="70" t="s">
        <v>621</v>
      </c>
      <c r="F100" s="70">
        <v>2.0</v>
      </c>
      <c r="G100" s="70">
        <v>1.0</v>
      </c>
      <c r="H100" s="70">
        <v>2.0</v>
      </c>
      <c r="I100" s="70" t="s">
        <v>8</v>
      </c>
      <c r="J100" s="70" t="s">
        <v>622</v>
      </c>
    </row>
    <row r="101">
      <c r="A101" s="70" t="s">
        <v>203</v>
      </c>
      <c r="B101" s="70" t="s">
        <v>204</v>
      </c>
      <c r="C101" s="70" t="s">
        <v>8</v>
      </c>
      <c r="D101" s="70" t="s">
        <v>620</v>
      </c>
      <c r="E101" s="70" t="s">
        <v>621</v>
      </c>
      <c r="F101" s="70">
        <v>2.0</v>
      </c>
      <c r="G101" s="70">
        <v>1.0</v>
      </c>
      <c r="H101" s="70">
        <v>2.0</v>
      </c>
      <c r="I101" s="70" t="s">
        <v>8</v>
      </c>
      <c r="J101" s="70" t="s">
        <v>622</v>
      </c>
    </row>
    <row r="102">
      <c r="A102" s="70" t="s">
        <v>228</v>
      </c>
      <c r="B102" s="70" t="s">
        <v>230</v>
      </c>
      <c r="C102" s="70" t="s">
        <v>8</v>
      </c>
      <c r="D102" s="70" t="s">
        <v>620</v>
      </c>
      <c r="E102" s="70" t="s">
        <v>621</v>
      </c>
      <c r="F102" s="70">
        <v>2.0</v>
      </c>
      <c r="G102" s="70">
        <v>1.0</v>
      </c>
      <c r="H102" s="70">
        <v>2.0</v>
      </c>
      <c r="I102" s="70" t="s">
        <v>8</v>
      </c>
      <c r="J102" s="70" t="s">
        <v>622</v>
      </c>
    </row>
    <row r="103">
      <c r="A103" s="70" t="s">
        <v>249</v>
      </c>
      <c r="B103" s="70" t="s">
        <v>251</v>
      </c>
      <c r="C103" s="70" t="s">
        <v>8</v>
      </c>
      <c r="D103" s="70" t="s">
        <v>620</v>
      </c>
      <c r="E103" s="70" t="s">
        <v>621</v>
      </c>
      <c r="F103" s="70">
        <v>2.0</v>
      </c>
      <c r="G103" s="70">
        <v>1.0</v>
      </c>
      <c r="H103" s="70">
        <v>2.0</v>
      </c>
      <c r="I103" s="70" t="s">
        <v>8</v>
      </c>
      <c r="J103" s="70" t="s">
        <v>622</v>
      </c>
    </row>
    <row r="104">
      <c r="A104" s="70" t="s">
        <v>269</v>
      </c>
      <c r="B104" s="70" t="s">
        <v>271</v>
      </c>
      <c r="C104" s="70" t="s">
        <v>8</v>
      </c>
      <c r="D104" s="70" t="s">
        <v>620</v>
      </c>
      <c r="E104" s="70" t="s">
        <v>621</v>
      </c>
      <c r="F104" s="70">
        <v>2.0</v>
      </c>
      <c r="G104" s="70">
        <v>1.0</v>
      </c>
      <c r="H104" s="70">
        <v>2.0</v>
      </c>
      <c r="I104" s="70" t="s">
        <v>8</v>
      </c>
      <c r="J104" s="70" t="s">
        <v>622</v>
      </c>
    </row>
    <row r="105">
      <c r="A105" s="70" t="s">
        <v>288</v>
      </c>
      <c r="B105" s="70" t="s">
        <v>290</v>
      </c>
      <c r="C105" s="70" t="s">
        <v>8</v>
      </c>
      <c r="D105" s="70" t="s">
        <v>620</v>
      </c>
      <c r="E105" s="70" t="s">
        <v>621</v>
      </c>
      <c r="F105" s="70">
        <v>2.0</v>
      </c>
      <c r="G105" s="70">
        <v>1.0</v>
      </c>
      <c r="H105" s="70">
        <v>2.0</v>
      </c>
      <c r="I105" s="70" t="s">
        <v>8</v>
      </c>
      <c r="J105" s="70" t="s">
        <v>622</v>
      </c>
    </row>
    <row r="106">
      <c r="A106" s="70" t="s">
        <v>306</v>
      </c>
      <c r="B106" s="70" t="s">
        <v>307</v>
      </c>
      <c r="C106" s="70" t="s">
        <v>8</v>
      </c>
      <c r="D106" s="70" t="s">
        <v>620</v>
      </c>
      <c r="E106" s="70" t="s">
        <v>621</v>
      </c>
      <c r="F106" s="70">
        <v>2.0</v>
      </c>
      <c r="G106" s="70">
        <v>1.0</v>
      </c>
      <c r="H106" s="70">
        <v>2.0</v>
      </c>
      <c r="I106" s="70" t="s">
        <v>8</v>
      </c>
      <c r="J106" s="70" t="s">
        <v>622</v>
      </c>
    </row>
    <row r="107">
      <c r="A107" s="70" t="s">
        <v>326</v>
      </c>
      <c r="B107" s="70" t="s">
        <v>327</v>
      </c>
      <c r="C107" s="70" t="s">
        <v>8</v>
      </c>
      <c r="D107" s="70" t="s">
        <v>620</v>
      </c>
      <c r="E107" s="70" t="s">
        <v>621</v>
      </c>
      <c r="F107" s="70">
        <v>2.0</v>
      </c>
      <c r="G107" s="70">
        <v>1.0</v>
      </c>
      <c r="H107" s="70">
        <v>2.0</v>
      </c>
      <c r="I107" s="70" t="s">
        <v>8</v>
      </c>
      <c r="J107" s="70" t="s">
        <v>622</v>
      </c>
    </row>
    <row r="108">
      <c r="A108" s="70" t="s">
        <v>346</v>
      </c>
      <c r="B108" s="70" t="s">
        <v>347</v>
      </c>
      <c r="C108" s="70" t="s">
        <v>8</v>
      </c>
      <c r="D108" s="70" t="s">
        <v>620</v>
      </c>
      <c r="E108" s="70" t="s">
        <v>621</v>
      </c>
      <c r="F108" s="70">
        <v>2.0</v>
      </c>
      <c r="G108" s="70">
        <v>1.0</v>
      </c>
      <c r="H108" s="70">
        <v>2.0</v>
      </c>
      <c r="I108" s="70" t="s">
        <v>8</v>
      </c>
      <c r="J108" s="70" t="s">
        <v>622</v>
      </c>
    </row>
    <row r="109">
      <c r="A109" s="70" t="s">
        <v>358</v>
      </c>
      <c r="B109" s="70" t="s">
        <v>359</v>
      </c>
      <c r="C109" s="70" t="s">
        <v>8</v>
      </c>
      <c r="D109" s="70" t="s">
        <v>620</v>
      </c>
      <c r="E109" s="70" t="s">
        <v>621</v>
      </c>
      <c r="F109" s="70">
        <v>2.0</v>
      </c>
      <c r="G109" s="70">
        <v>1.0</v>
      </c>
      <c r="H109" s="70">
        <v>2.0</v>
      </c>
      <c r="I109" s="70" t="s">
        <v>8</v>
      </c>
      <c r="J109" s="70" t="s">
        <v>622</v>
      </c>
    </row>
    <row r="110">
      <c r="A110" s="70" t="s">
        <v>371</v>
      </c>
      <c r="B110" s="70" t="s">
        <v>372</v>
      </c>
      <c r="C110" s="70" t="s">
        <v>8</v>
      </c>
      <c r="D110" s="70" t="s">
        <v>620</v>
      </c>
      <c r="E110" s="70" t="s">
        <v>621</v>
      </c>
      <c r="F110" s="70">
        <v>2.0</v>
      </c>
      <c r="G110" s="70">
        <v>1.0</v>
      </c>
      <c r="H110" s="70">
        <v>2.0</v>
      </c>
      <c r="I110" s="70" t="s">
        <v>8</v>
      </c>
      <c r="J110" s="70" t="s">
        <v>622</v>
      </c>
    </row>
    <row r="111">
      <c r="A111" s="70" t="s">
        <v>383</v>
      </c>
      <c r="B111" s="70" t="s">
        <v>384</v>
      </c>
      <c r="C111" s="70" t="s">
        <v>8</v>
      </c>
      <c r="D111" s="70" t="s">
        <v>620</v>
      </c>
      <c r="E111" s="70" t="s">
        <v>621</v>
      </c>
      <c r="F111" s="70">
        <v>2.0</v>
      </c>
      <c r="G111" s="70">
        <v>1.0</v>
      </c>
      <c r="H111" s="70">
        <v>2.0</v>
      </c>
      <c r="I111" s="70" t="s">
        <v>8</v>
      </c>
      <c r="J111" s="70" t="s">
        <v>622</v>
      </c>
    </row>
    <row r="112">
      <c r="A112" s="70" t="s">
        <v>396</v>
      </c>
      <c r="B112" s="70" t="s">
        <v>397</v>
      </c>
      <c r="C112" s="70" t="s">
        <v>8</v>
      </c>
      <c r="D112" s="70" t="s">
        <v>620</v>
      </c>
      <c r="E112" s="70" t="s">
        <v>621</v>
      </c>
      <c r="F112" s="70">
        <v>2.0</v>
      </c>
      <c r="G112" s="70">
        <v>1.0</v>
      </c>
      <c r="H112" s="70">
        <v>2.0</v>
      </c>
      <c r="I112" s="70" t="s">
        <v>8</v>
      </c>
      <c r="J112" s="70" t="s">
        <v>622</v>
      </c>
    </row>
    <row r="113">
      <c r="A113" s="70" t="s">
        <v>408</v>
      </c>
      <c r="B113" s="70" t="s">
        <v>409</v>
      </c>
      <c r="C113" s="70" t="s">
        <v>8</v>
      </c>
      <c r="D113" s="70" t="s">
        <v>620</v>
      </c>
      <c r="E113" s="70" t="s">
        <v>621</v>
      </c>
      <c r="F113" s="70">
        <v>2.0</v>
      </c>
      <c r="G113" s="70">
        <v>1.0</v>
      </c>
      <c r="H113" s="70">
        <v>2.0</v>
      </c>
      <c r="I113" s="70" t="s">
        <v>8</v>
      </c>
      <c r="J113" s="70" t="s">
        <v>622</v>
      </c>
    </row>
    <row r="114">
      <c r="A114" s="70" t="s">
        <v>418</v>
      </c>
      <c r="B114" s="70" t="s">
        <v>419</v>
      </c>
      <c r="C114" s="70" t="s">
        <v>8</v>
      </c>
      <c r="D114" s="70" t="s">
        <v>620</v>
      </c>
      <c r="E114" s="70" t="s">
        <v>621</v>
      </c>
      <c r="F114" s="70">
        <v>2.0</v>
      </c>
      <c r="G114" s="70">
        <v>1.0</v>
      </c>
      <c r="H114" s="70">
        <v>2.0</v>
      </c>
      <c r="I114" s="70" t="s">
        <v>8</v>
      </c>
      <c r="J114" s="70" t="s">
        <v>622</v>
      </c>
    </row>
    <row r="115">
      <c r="A115" s="70" t="s">
        <v>427</v>
      </c>
      <c r="B115" s="70" t="s">
        <v>403</v>
      </c>
      <c r="C115" s="70" t="s">
        <v>8</v>
      </c>
      <c r="D115" s="70" t="s">
        <v>620</v>
      </c>
      <c r="E115" s="70" t="s">
        <v>621</v>
      </c>
      <c r="F115" s="70">
        <v>2.0</v>
      </c>
      <c r="G115" s="70">
        <v>1.0</v>
      </c>
      <c r="H115" s="70">
        <v>2.0</v>
      </c>
      <c r="I115" s="70" t="s">
        <v>8</v>
      </c>
      <c r="J115" s="70" t="s">
        <v>622</v>
      </c>
    </row>
    <row r="116">
      <c r="A116" s="70" t="s">
        <v>433</v>
      </c>
      <c r="B116" s="70" t="s">
        <v>435</v>
      </c>
      <c r="C116" s="70" t="s">
        <v>8</v>
      </c>
      <c r="D116" s="70" t="s">
        <v>620</v>
      </c>
      <c r="E116" s="70" t="s">
        <v>621</v>
      </c>
      <c r="F116" s="70">
        <v>2.0</v>
      </c>
      <c r="G116" s="70">
        <v>1.0</v>
      </c>
      <c r="H116" s="70">
        <v>2.0</v>
      </c>
      <c r="I116" s="70" t="s">
        <v>8</v>
      </c>
      <c r="J116" s="70" t="s">
        <v>622</v>
      </c>
    </row>
    <row r="117">
      <c r="A117" s="70" t="s">
        <v>439</v>
      </c>
      <c r="B117" s="70" t="s">
        <v>440</v>
      </c>
      <c r="C117" s="70" t="s">
        <v>8</v>
      </c>
      <c r="D117" s="70" t="s">
        <v>620</v>
      </c>
      <c r="E117" s="70" t="s">
        <v>621</v>
      </c>
      <c r="F117" s="70">
        <v>2.0</v>
      </c>
      <c r="G117" s="70">
        <v>1.0</v>
      </c>
      <c r="H117" s="70">
        <v>2.0</v>
      </c>
      <c r="I117" s="70" t="s">
        <v>8</v>
      </c>
      <c r="J117" s="70" t="s">
        <v>622</v>
      </c>
    </row>
    <row r="118">
      <c r="A118" s="70" t="s">
        <v>444</v>
      </c>
      <c r="B118" s="70" t="s">
        <v>447</v>
      </c>
      <c r="C118" s="70" t="s">
        <v>8</v>
      </c>
      <c r="D118" s="70" t="s">
        <v>620</v>
      </c>
      <c r="E118" s="70" t="s">
        <v>647</v>
      </c>
      <c r="F118" s="70" t="s">
        <v>49</v>
      </c>
      <c r="G118" s="70">
        <v>3.0</v>
      </c>
      <c r="H118" s="70">
        <v>3.0</v>
      </c>
      <c r="I118" s="70" t="s">
        <v>8</v>
      </c>
      <c r="J118" s="70" t="s">
        <v>622</v>
      </c>
    </row>
    <row r="119">
      <c r="A119" s="70" t="s">
        <v>25</v>
      </c>
      <c r="B119" s="70" t="s">
        <v>27</v>
      </c>
      <c r="C119" s="70" t="s">
        <v>9</v>
      </c>
      <c r="D119" s="70" t="s">
        <v>620</v>
      </c>
      <c r="E119" s="70" t="s">
        <v>647</v>
      </c>
      <c r="F119" s="70" t="s">
        <v>29</v>
      </c>
      <c r="G119" s="70">
        <v>7.0</v>
      </c>
      <c r="H119" s="70">
        <v>7.0</v>
      </c>
      <c r="I119" s="70" t="s">
        <v>9</v>
      </c>
      <c r="J119" s="70" t="s">
        <v>622</v>
      </c>
    </row>
    <row r="120">
      <c r="A120" s="70" t="s">
        <v>46</v>
      </c>
      <c r="B120" s="70" t="s">
        <v>47</v>
      </c>
      <c r="C120" s="70" t="s">
        <v>9</v>
      </c>
      <c r="D120" s="70" t="s">
        <v>620</v>
      </c>
      <c r="E120" s="70" t="s">
        <v>647</v>
      </c>
      <c r="F120" s="70" t="s">
        <v>49</v>
      </c>
      <c r="G120" s="70">
        <v>3.0</v>
      </c>
      <c r="H120" s="70">
        <v>3.0</v>
      </c>
      <c r="I120" s="70" t="s">
        <v>9</v>
      </c>
      <c r="J120" s="70" t="s">
        <v>622</v>
      </c>
    </row>
    <row r="121">
      <c r="A121" s="70" t="s">
        <v>68</v>
      </c>
      <c r="B121" s="70" t="s">
        <v>69</v>
      </c>
      <c r="C121" s="70" t="s">
        <v>9</v>
      </c>
      <c r="D121" s="70" t="s">
        <v>620</v>
      </c>
      <c r="E121" s="70" t="s">
        <v>647</v>
      </c>
      <c r="F121" s="70" t="s">
        <v>29</v>
      </c>
      <c r="G121" s="70">
        <v>7.0</v>
      </c>
      <c r="H121" s="70">
        <v>7.0</v>
      </c>
      <c r="I121" s="70" t="s">
        <v>9</v>
      </c>
      <c r="J121" s="70" t="s">
        <v>622</v>
      </c>
    </row>
    <row r="122">
      <c r="A122" s="70" t="s">
        <v>91</v>
      </c>
      <c r="B122" s="70" t="s">
        <v>93</v>
      </c>
      <c r="C122" s="70" t="s">
        <v>9</v>
      </c>
      <c r="D122" s="70" t="s">
        <v>620</v>
      </c>
      <c r="E122" s="70" t="s">
        <v>647</v>
      </c>
      <c r="F122" s="70" t="s">
        <v>94</v>
      </c>
      <c r="G122" s="70">
        <v>2.0</v>
      </c>
      <c r="H122" s="70">
        <v>2.0</v>
      </c>
      <c r="I122" s="70" t="s">
        <v>9</v>
      </c>
      <c r="J122" s="70" t="s">
        <v>622</v>
      </c>
    </row>
    <row r="123">
      <c r="A123" s="70" t="s">
        <v>114</v>
      </c>
      <c r="B123" s="70" t="s">
        <v>116</v>
      </c>
      <c r="C123" s="70" t="s">
        <v>9</v>
      </c>
      <c r="D123" s="70" t="s">
        <v>620</v>
      </c>
      <c r="E123" s="70" t="s">
        <v>647</v>
      </c>
      <c r="F123" s="70" t="s">
        <v>117</v>
      </c>
      <c r="G123" s="70">
        <v>4.0</v>
      </c>
      <c r="H123" s="70">
        <v>4.0</v>
      </c>
      <c r="I123" s="70" t="s">
        <v>9</v>
      </c>
      <c r="J123" s="70" t="s">
        <v>622</v>
      </c>
    </row>
    <row r="124">
      <c r="A124" s="70" t="s">
        <v>136</v>
      </c>
      <c r="B124" s="70" t="s">
        <v>139</v>
      </c>
      <c r="C124" s="70" t="s">
        <v>9</v>
      </c>
      <c r="D124" s="70" t="s">
        <v>620</v>
      </c>
      <c r="E124" s="70" t="s">
        <v>647</v>
      </c>
      <c r="F124" s="70" t="s">
        <v>140</v>
      </c>
      <c r="G124" s="70">
        <v>5.0</v>
      </c>
      <c r="H124" s="70">
        <v>5.0</v>
      </c>
      <c r="I124" s="70" t="s">
        <v>9</v>
      </c>
      <c r="J124" s="70" t="s">
        <v>622</v>
      </c>
    </row>
    <row r="125">
      <c r="A125" s="70" t="s">
        <v>160</v>
      </c>
      <c r="B125" s="70" t="s">
        <v>161</v>
      </c>
      <c r="C125" s="70" t="s">
        <v>9</v>
      </c>
      <c r="D125" s="70" t="s">
        <v>620</v>
      </c>
      <c r="E125" s="70" t="s">
        <v>647</v>
      </c>
      <c r="F125" s="70" t="s">
        <v>29</v>
      </c>
      <c r="G125" s="70">
        <v>7.0</v>
      </c>
      <c r="H125" s="70">
        <v>7.0</v>
      </c>
      <c r="I125" s="70" t="s">
        <v>9</v>
      </c>
      <c r="J125" s="70" t="s">
        <v>622</v>
      </c>
    </row>
    <row r="126">
      <c r="A126" s="70" t="s">
        <v>183</v>
      </c>
      <c r="B126" s="70" t="s">
        <v>185</v>
      </c>
      <c r="C126" s="70" t="s">
        <v>9</v>
      </c>
      <c r="D126" s="70" t="s">
        <v>620</v>
      </c>
      <c r="E126" s="70" t="s">
        <v>647</v>
      </c>
      <c r="F126" s="70" t="s">
        <v>49</v>
      </c>
      <c r="G126" s="70">
        <v>3.0</v>
      </c>
      <c r="H126" s="70">
        <v>3.0</v>
      </c>
      <c r="I126" s="70" t="s">
        <v>9</v>
      </c>
      <c r="J126" s="70" t="s">
        <v>622</v>
      </c>
    </row>
    <row r="127">
      <c r="A127" s="70" t="s">
        <v>207</v>
      </c>
      <c r="B127" s="70" t="s">
        <v>209</v>
      </c>
      <c r="C127" s="70" t="s">
        <v>9</v>
      </c>
      <c r="D127" s="70" t="s">
        <v>620</v>
      </c>
      <c r="E127" s="70" t="s">
        <v>647</v>
      </c>
      <c r="F127" s="70" t="s">
        <v>210</v>
      </c>
      <c r="G127" s="70">
        <v>6.0</v>
      </c>
      <c r="H127" s="70">
        <v>6.0</v>
      </c>
      <c r="I127" s="70" t="s">
        <v>9</v>
      </c>
      <c r="J127" s="70" t="s">
        <v>622</v>
      </c>
    </row>
    <row r="128">
      <c r="A128" s="70" t="s">
        <v>112</v>
      </c>
      <c r="B128" s="70" t="s">
        <v>121</v>
      </c>
      <c r="C128" s="70" t="s">
        <v>2</v>
      </c>
      <c r="D128" s="70" t="s">
        <v>662</v>
      </c>
      <c r="E128" s="70" t="s">
        <v>621</v>
      </c>
      <c r="F128" s="70">
        <v>2.0</v>
      </c>
      <c r="G128" s="70">
        <v>1.0</v>
      </c>
      <c r="H128" s="70">
        <v>2.0</v>
      </c>
      <c r="I128" s="70" t="s">
        <v>2</v>
      </c>
      <c r="J128" s="70" t="s">
        <v>622</v>
      </c>
    </row>
    <row r="129">
      <c r="A129" s="70" t="s">
        <v>187</v>
      </c>
      <c r="B129" s="70" t="s">
        <v>190</v>
      </c>
      <c r="C129" s="70" t="s">
        <v>2</v>
      </c>
      <c r="D129" s="70" t="s">
        <v>662</v>
      </c>
      <c r="E129" s="70" t="s">
        <v>621</v>
      </c>
      <c r="F129" s="70">
        <v>2.0</v>
      </c>
      <c r="G129" s="70">
        <v>1.0</v>
      </c>
      <c r="H129" s="70">
        <v>2.0</v>
      </c>
      <c r="I129" s="70" t="s">
        <v>2</v>
      </c>
      <c r="J129" s="70" t="s">
        <v>622</v>
      </c>
    </row>
    <row r="130">
      <c r="A130" s="70" t="s">
        <v>233</v>
      </c>
      <c r="B130" s="70" t="s">
        <v>196</v>
      </c>
      <c r="C130" s="70" t="s">
        <v>2</v>
      </c>
      <c r="D130" s="70" t="s">
        <v>662</v>
      </c>
      <c r="E130" s="70" t="s">
        <v>621</v>
      </c>
      <c r="F130" s="70">
        <v>2.0</v>
      </c>
      <c r="G130" s="70">
        <v>1.0</v>
      </c>
      <c r="H130" s="70">
        <v>2.0</v>
      </c>
      <c r="I130" s="70" t="s">
        <v>2</v>
      </c>
      <c r="J130" s="70" t="s">
        <v>622</v>
      </c>
    </row>
    <row r="131">
      <c r="A131" s="70" t="s">
        <v>277</v>
      </c>
      <c r="B131" s="70" t="s">
        <v>281</v>
      </c>
      <c r="C131" s="70" t="s">
        <v>2</v>
      </c>
      <c r="D131" s="70" t="s">
        <v>662</v>
      </c>
      <c r="E131" s="70" t="s">
        <v>621</v>
      </c>
      <c r="F131" s="70">
        <v>2.0</v>
      </c>
      <c r="G131" s="70">
        <v>1.0</v>
      </c>
      <c r="H131" s="70">
        <v>2.0</v>
      </c>
      <c r="I131" s="70" t="s">
        <v>2</v>
      </c>
      <c r="J131" s="70" t="s">
        <v>622</v>
      </c>
    </row>
    <row r="132">
      <c r="A132" s="70" t="s">
        <v>329</v>
      </c>
      <c r="B132" s="70" t="s">
        <v>332</v>
      </c>
      <c r="C132" s="70" t="s">
        <v>2</v>
      </c>
      <c r="D132" s="70" t="s">
        <v>662</v>
      </c>
      <c r="E132" s="70" t="s">
        <v>621</v>
      </c>
      <c r="F132" s="70">
        <v>2.0</v>
      </c>
      <c r="G132" s="70">
        <v>1.0</v>
      </c>
      <c r="H132" s="70">
        <v>2.0</v>
      </c>
      <c r="I132" s="70" t="s">
        <v>2</v>
      </c>
      <c r="J132" s="70" t="s">
        <v>622</v>
      </c>
    </row>
    <row r="133">
      <c r="A133" s="70" t="s">
        <v>354</v>
      </c>
      <c r="B133" s="70" t="s">
        <v>356</v>
      </c>
      <c r="C133" s="70" t="s">
        <v>2</v>
      </c>
      <c r="D133" s="70" t="s">
        <v>662</v>
      </c>
      <c r="E133" s="70" t="s">
        <v>621</v>
      </c>
      <c r="F133" s="70">
        <v>2.0</v>
      </c>
      <c r="G133" s="70">
        <v>1.0</v>
      </c>
      <c r="H133" s="70">
        <v>2.0</v>
      </c>
      <c r="I133" s="70" t="s">
        <v>2</v>
      </c>
      <c r="J133" s="70" t="s">
        <v>622</v>
      </c>
    </row>
    <row r="134">
      <c r="A134" s="70" t="s">
        <v>392</v>
      </c>
      <c r="B134" s="70" t="s">
        <v>395</v>
      </c>
      <c r="C134" s="70" t="s">
        <v>2</v>
      </c>
      <c r="D134" s="70" t="s">
        <v>662</v>
      </c>
      <c r="E134" s="70" t="s">
        <v>621</v>
      </c>
      <c r="F134" s="70">
        <v>2.0</v>
      </c>
      <c r="G134" s="70">
        <v>1.0</v>
      </c>
      <c r="H134" s="70">
        <v>2.0</v>
      </c>
      <c r="I134" s="70" t="s">
        <v>2</v>
      </c>
      <c r="J134" s="70" t="s">
        <v>622</v>
      </c>
    </row>
    <row r="135">
      <c r="A135" s="70" t="s">
        <v>425</v>
      </c>
      <c r="B135" s="70" t="s">
        <v>426</v>
      </c>
      <c r="C135" s="70" t="s">
        <v>2</v>
      </c>
      <c r="D135" s="70" t="s">
        <v>662</v>
      </c>
      <c r="E135" s="70" t="s">
        <v>621</v>
      </c>
      <c r="F135" s="70">
        <v>3.0</v>
      </c>
      <c r="G135" s="70">
        <v>1.0</v>
      </c>
      <c r="H135" s="70">
        <v>3.0</v>
      </c>
      <c r="I135" s="70" t="s">
        <v>2</v>
      </c>
      <c r="J135" s="70" t="s">
        <v>622</v>
      </c>
    </row>
    <row r="136">
      <c r="A136" s="70" t="s">
        <v>445</v>
      </c>
      <c r="B136" s="70" t="s">
        <v>448</v>
      </c>
      <c r="C136" s="70" t="s">
        <v>2</v>
      </c>
      <c r="D136" s="70" t="s">
        <v>662</v>
      </c>
      <c r="E136" s="70" t="s">
        <v>621</v>
      </c>
      <c r="F136" s="70">
        <v>2.0</v>
      </c>
      <c r="G136" s="70">
        <v>1.0</v>
      </c>
      <c r="H136" s="70">
        <v>2.0</v>
      </c>
      <c r="I136" s="70" t="s">
        <v>2</v>
      </c>
      <c r="J136" s="70" t="s">
        <v>622</v>
      </c>
    </row>
    <row r="137">
      <c r="A137" s="70" t="s">
        <v>460</v>
      </c>
      <c r="B137" s="70" t="s">
        <v>461</v>
      </c>
      <c r="C137" s="70" t="s">
        <v>2</v>
      </c>
      <c r="D137" s="70" t="s">
        <v>662</v>
      </c>
      <c r="E137" s="70" t="s">
        <v>621</v>
      </c>
      <c r="F137" s="70">
        <v>2.0</v>
      </c>
      <c r="G137" s="70">
        <v>1.0</v>
      </c>
      <c r="H137" s="70">
        <v>2.0</v>
      </c>
      <c r="I137" s="70" t="s">
        <v>2</v>
      </c>
      <c r="J137" s="70" t="s">
        <v>622</v>
      </c>
    </row>
    <row r="138">
      <c r="A138" s="70" t="s">
        <v>471</v>
      </c>
      <c r="B138" s="70" t="s">
        <v>472</v>
      </c>
      <c r="C138" s="70" t="s">
        <v>2</v>
      </c>
      <c r="D138" s="70" t="s">
        <v>662</v>
      </c>
      <c r="E138" s="70" t="s">
        <v>621</v>
      </c>
      <c r="F138" s="70">
        <v>2.0</v>
      </c>
      <c r="G138" s="70">
        <v>1.0</v>
      </c>
      <c r="H138" s="70">
        <v>2.0</v>
      </c>
      <c r="I138" s="70" t="s">
        <v>2</v>
      </c>
      <c r="J138" s="70" t="s">
        <v>622</v>
      </c>
    </row>
    <row r="139">
      <c r="A139" s="70" t="s">
        <v>480</v>
      </c>
      <c r="B139" s="70" t="s">
        <v>481</v>
      </c>
      <c r="C139" s="70" t="s">
        <v>2</v>
      </c>
      <c r="D139" s="70" t="s">
        <v>662</v>
      </c>
      <c r="E139" s="70" t="s">
        <v>621</v>
      </c>
      <c r="F139" s="70">
        <v>2.0</v>
      </c>
      <c r="G139" s="70">
        <v>1.0</v>
      </c>
      <c r="H139" s="70">
        <v>2.0</v>
      </c>
      <c r="I139" s="70" t="s">
        <v>2</v>
      </c>
      <c r="J139" s="70" t="s">
        <v>622</v>
      </c>
    </row>
    <row r="140">
      <c r="A140" s="70" t="s">
        <v>488</v>
      </c>
      <c r="B140" s="70" t="s">
        <v>489</v>
      </c>
      <c r="C140" s="70" t="s">
        <v>2</v>
      </c>
      <c r="D140" s="70" t="s">
        <v>662</v>
      </c>
      <c r="E140" s="70" t="s">
        <v>621</v>
      </c>
      <c r="F140" s="70">
        <v>2.0</v>
      </c>
      <c r="G140" s="70">
        <v>1.0</v>
      </c>
      <c r="H140" s="70">
        <v>2.0</v>
      </c>
      <c r="I140" s="70" t="s">
        <v>2</v>
      </c>
      <c r="J140" s="70" t="s">
        <v>622</v>
      </c>
    </row>
    <row r="141">
      <c r="A141" s="70" t="s">
        <v>498</v>
      </c>
      <c r="B141" s="70" t="s">
        <v>138</v>
      </c>
      <c r="C141" s="70" t="s">
        <v>2</v>
      </c>
      <c r="D141" s="70" t="s">
        <v>662</v>
      </c>
      <c r="E141" s="70" t="s">
        <v>621</v>
      </c>
      <c r="F141" s="70">
        <v>2.0</v>
      </c>
      <c r="G141" s="70">
        <v>1.0</v>
      </c>
      <c r="H141" s="70">
        <v>2.0</v>
      </c>
      <c r="I141" s="70" t="s">
        <v>2</v>
      </c>
      <c r="J141" s="70" t="s">
        <v>622</v>
      </c>
    </row>
    <row r="142">
      <c r="A142" s="70" t="s">
        <v>508</v>
      </c>
      <c r="B142" s="70" t="s">
        <v>509</v>
      </c>
      <c r="C142" s="70" t="s">
        <v>2</v>
      </c>
      <c r="D142" s="70" t="s">
        <v>662</v>
      </c>
      <c r="E142" s="70" t="s">
        <v>621</v>
      </c>
      <c r="F142" s="70">
        <v>2.0</v>
      </c>
      <c r="G142" s="70">
        <v>1.0</v>
      </c>
      <c r="H142" s="70">
        <v>2.0</v>
      </c>
      <c r="I142" s="70" t="s">
        <v>2</v>
      </c>
      <c r="J142" s="70" t="s">
        <v>622</v>
      </c>
    </row>
    <row r="143">
      <c r="A143" s="70" t="s">
        <v>517</v>
      </c>
      <c r="B143" s="70" t="s">
        <v>518</v>
      </c>
      <c r="C143" s="70" t="s">
        <v>2</v>
      </c>
      <c r="D143" s="70" t="s">
        <v>662</v>
      </c>
      <c r="E143" s="70" t="s">
        <v>621</v>
      </c>
      <c r="F143" s="70">
        <v>2.0</v>
      </c>
      <c r="G143" s="70">
        <v>1.0</v>
      </c>
      <c r="H143" s="70">
        <v>2.0</v>
      </c>
      <c r="I143" s="70" t="s">
        <v>2</v>
      </c>
      <c r="J143" s="70" t="s">
        <v>622</v>
      </c>
    </row>
    <row r="144">
      <c r="A144" s="70" t="s">
        <v>527</v>
      </c>
      <c r="B144" s="70" t="s">
        <v>511</v>
      </c>
      <c r="C144" s="70" t="s">
        <v>2</v>
      </c>
      <c r="D144" s="70" t="s">
        <v>662</v>
      </c>
      <c r="E144" s="70" t="s">
        <v>621</v>
      </c>
      <c r="F144" s="70">
        <v>2.0</v>
      </c>
      <c r="G144" s="70">
        <v>1.0</v>
      </c>
      <c r="H144" s="70">
        <v>2.0</v>
      </c>
      <c r="I144" s="70" t="s">
        <v>2</v>
      </c>
      <c r="J144" s="70" t="s">
        <v>622</v>
      </c>
    </row>
    <row r="145">
      <c r="A145" s="70" t="s">
        <v>132</v>
      </c>
      <c r="B145" s="70" t="s">
        <v>138</v>
      </c>
      <c r="C145" s="70" t="s">
        <v>4</v>
      </c>
      <c r="D145" s="70" t="s">
        <v>662</v>
      </c>
      <c r="E145" s="70" t="s">
        <v>621</v>
      </c>
      <c r="F145" s="70">
        <v>2.0</v>
      </c>
      <c r="G145" s="70">
        <v>1.0</v>
      </c>
      <c r="H145" s="70">
        <v>2.0</v>
      </c>
      <c r="I145" s="70" t="s">
        <v>4</v>
      </c>
      <c r="J145" s="70" t="s">
        <v>622</v>
      </c>
    </row>
    <row r="146">
      <c r="A146" s="70" t="s">
        <v>193</v>
      </c>
      <c r="B146" s="70" t="s">
        <v>196</v>
      </c>
      <c r="C146" s="70" t="s">
        <v>4</v>
      </c>
      <c r="D146" s="70" t="s">
        <v>662</v>
      </c>
      <c r="E146" s="70" t="s">
        <v>621</v>
      </c>
      <c r="F146" s="70">
        <v>2.0</v>
      </c>
      <c r="G146" s="70">
        <v>1.0</v>
      </c>
      <c r="H146" s="70">
        <v>2.0</v>
      </c>
      <c r="I146" s="70" t="s">
        <v>4</v>
      </c>
      <c r="J146" s="70" t="s">
        <v>622</v>
      </c>
    </row>
    <row r="147">
      <c r="A147" s="70" t="s">
        <v>238</v>
      </c>
      <c r="B147" s="70" t="s">
        <v>121</v>
      </c>
      <c r="C147" s="70" t="s">
        <v>4</v>
      </c>
      <c r="D147" s="70" t="s">
        <v>662</v>
      </c>
      <c r="E147" s="70" t="s">
        <v>621</v>
      </c>
      <c r="F147" s="70">
        <v>2.0</v>
      </c>
      <c r="G147" s="70">
        <v>1.0</v>
      </c>
      <c r="H147" s="70">
        <v>2.0</v>
      </c>
      <c r="I147" s="70" t="s">
        <v>4</v>
      </c>
      <c r="J147" s="70" t="s">
        <v>622</v>
      </c>
    </row>
    <row r="148">
      <c r="A148" s="70" t="s">
        <v>287</v>
      </c>
      <c r="B148" s="70" t="s">
        <v>214</v>
      </c>
      <c r="C148" s="70" t="s">
        <v>4</v>
      </c>
      <c r="D148" s="70" t="s">
        <v>662</v>
      </c>
      <c r="E148" s="70" t="s">
        <v>621</v>
      </c>
      <c r="F148" s="70">
        <v>2.0</v>
      </c>
      <c r="G148" s="70">
        <v>1.0</v>
      </c>
      <c r="H148" s="70">
        <v>2.0</v>
      </c>
      <c r="I148" s="70" t="s">
        <v>4</v>
      </c>
      <c r="J148" s="70" t="s">
        <v>622</v>
      </c>
    </row>
    <row r="149">
      <c r="A149" s="70" t="s">
        <v>334</v>
      </c>
      <c r="B149" s="70" t="s">
        <v>335</v>
      </c>
      <c r="C149" s="70" t="s">
        <v>4</v>
      </c>
      <c r="D149" s="70" t="s">
        <v>662</v>
      </c>
      <c r="E149" s="70" t="s">
        <v>621</v>
      </c>
      <c r="F149" s="70">
        <v>2.0</v>
      </c>
      <c r="G149" s="70">
        <v>1.0</v>
      </c>
      <c r="H149" s="70">
        <v>2.0</v>
      </c>
      <c r="I149" s="70" t="s">
        <v>4</v>
      </c>
      <c r="J149" s="70" t="s">
        <v>622</v>
      </c>
    </row>
    <row r="150">
      <c r="A150" s="70" t="s">
        <v>360</v>
      </c>
      <c r="B150" s="70" t="s">
        <v>248</v>
      </c>
      <c r="C150" s="70" t="s">
        <v>4</v>
      </c>
      <c r="D150" s="70" t="s">
        <v>662</v>
      </c>
      <c r="E150" s="70" t="s">
        <v>621</v>
      </c>
      <c r="F150" s="70">
        <v>2.0</v>
      </c>
      <c r="G150" s="70">
        <v>1.0</v>
      </c>
      <c r="H150" s="70">
        <v>2.0</v>
      </c>
      <c r="I150" s="70" t="s">
        <v>4</v>
      </c>
      <c r="J150" s="70" t="s">
        <v>622</v>
      </c>
    </row>
    <row r="151">
      <c r="A151" s="70" t="s">
        <v>398</v>
      </c>
      <c r="B151" s="70" t="s">
        <v>399</v>
      </c>
      <c r="C151" s="70" t="s">
        <v>4</v>
      </c>
      <c r="D151" s="70" t="s">
        <v>662</v>
      </c>
      <c r="E151" s="70" t="s">
        <v>621</v>
      </c>
      <c r="F151" s="70">
        <v>2.0</v>
      </c>
      <c r="G151" s="70">
        <v>1.0</v>
      </c>
      <c r="H151" s="70">
        <v>2.0</v>
      </c>
      <c r="I151" s="70" t="s">
        <v>4</v>
      </c>
      <c r="J151" s="70" t="s">
        <v>622</v>
      </c>
    </row>
    <row r="152">
      <c r="A152" s="70" t="s">
        <v>428</v>
      </c>
      <c r="B152" s="70" t="s">
        <v>281</v>
      </c>
      <c r="C152" s="70" t="s">
        <v>4</v>
      </c>
      <c r="D152" s="70" t="s">
        <v>662</v>
      </c>
      <c r="E152" s="70" t="s">
        <v>621</v>
      </c>
      <c r="F152" s="70">
        <v>2.0</v>
      </c>
      <c r="G152" s="70">
        <v>1.0</v>
      </c>
      <c r="H152" s="70">
        <v>2.0</v>
      </c>
      <c r="I152" s="70" t="s">
        <v>4</v>
      </c>
      <c r="J152" s="70" t="s">
        <v>622</v>
      </c>
    </row>
    <row r="153">
      <c r="A153" s="70" t="s">
        <v>449</v>
      </c>
      <c r="B153" s="70" t="s">
        <v>451</v>
      </c>
      <c r="C153" s="70" t="s">
        <v>4</v>
      </c>
      <c r="D153" s="70" t="s">
        <v>662</v>
      </c>
      <c r="E153" s="70" t="s">
        <v>621</v>
      </c>
      <c r="F153" s="70">
        <v>2.0</v>
      </c>
      <c r="G153" s="70">
        <v>1.0</v>
      </c>
      <c r="H153" s="70">
        <v>2.0</v>
      </c>
      <c r="I153" s="70" t="s">
        <v>4</v>
      </c>
      <c r="J153" s="70" t="s">
        <v>622</v>
      </c>
    </row>
    <row r="154">
      <c r="A154" s="70" t="s">
        <v>462</v>
      </c>
      <c r="B154" s="70" t="s">
        <v>463</v>
      </c>
      <c r="C154" s="70" t="s">
        <v>4</v>
      </c>
      <c r="D154" s="70" t="s">
        <v>662</v>
      </c>
      <c r="E154" s="70" t="s">
        <v>621</v>
      </c>
      <c r="F154" s="70">
        <v>2.0</v>
      </c>
      <c r="G154" s="70">
        <v>1.0</v>
      </c>
      <c r="H154" s="70">
        <v>2.0</v>
      </c>
      <c r="I154" s="70" t="s">
        <v>4</v>
      </c>
      <c r="J154" s="70" t="s">
        <v>622</v>
      </c>
    </row>
    <row r="155">
      <c r="A155" s="70" t="s">
        <v>473</v>
      </c>
      <c r="B155" s="70" t="s">
        <v>474</v>
      </c>
      <c r="C155" s="70" t="s">
        <v>4</v>
      </c>
      <c r="D155" s="70" t="s">
        <v>662</v>
      </c>
      <c r="E155" s="70" t="s">
        <v>621</v>
      </c>
      <c r="F155" s="70">
        <v>2.0</v>
      </c>
      <c r="G155" s="70">
        <v>1.0</v>
      </c>
      <c r="H155" s="70">
        <v>2.0</v>
      </c>
      <c r="I155" s="70" t="s">
        <v>4</v>
      </c>
      <c r="J155" s="70" t="s">
        <v>622</v>
      </c>
    </row>
    <row r="156">
      <c r="A156" s="70" t="s">
        <v>482</v>
      </c>
      <c r="B156" s="70" t="s">
        <v>483</v>
      </c>
      <c r="C156" s="70" t="s">
        <v>4</v>
      </c>
      <c r="D156" s="70" t="s">
        <v>662</v>
      </c>
      <c r="E156" s="70" t="s">
        <v>621</v>
      </c>
      <c r="F156" s="70">
        <v>2.0</v>
      </c>
      <c r="G156" s="70">
        <v>1.0</v>
      </c>
      <c r="H156" s="70">
        <v>2.0</v>
      </c>
      <c r="I156" s="70" t="s">
        <v>4</v>
      </c>
      <c r="J156" s="70" t="s">
        <v>622</v>
      </c>
    </row>
    <row r="157">
      <c r="A157" s="70" t="s">
        <v>490</v>
      </c>
      <c r="B157" s="70" t="s">
        <v>491</v>
      </c>
      <c r="C157" s="70" t="s">
        <v>4</v>
      </c>
      <c r="D157" s="70" t="s">
        <v>662</v>
      </c>
      <c r="E157" s="70" t="s">
        <v>621</v>
      </c>
      <c r="F157" s="70">
        <v>2.0</v>
      </c>
      <c r="G157" s="70">
        <v>1.0</v>
      </c>
      <c r="H157" s="70">
        <v>2.0</v>
      </c>
      <c r="I157" s="70" t="s">
        <v>4</v>
      </c>
      <c r="J157" s="70" t="s">
        <v>622</v>
      </c>
    </row>
    <row r="158">
      <c r="A158" s="70" t="s">
        <v>499</v>
      </c>
      <c r="B158" s="70" t="s">
        <v>500</v>
      </c>
      <c r="C158" s="70" t="s">
        <v>4</v>
      </c>
      <c r="D158" s="70" t="s">
        <v>662</v>
      </c>
      <c r="E158" s="70" t="s">
        <v>621</v>
      </c>
      <c r="F158" s="70">
        <v>2.0</v>
      </c>
      <c r="G158" s="70">
        <v>1.0</v>
      </c>
      <c r="H158" s="70">
        <v>2.0</v>
      </c>
      <c r="I158" s="70" t="s">
        <v>4</v>
      </c>
      <c r="J158" s="70" t="s">
        <v>622</v>
      </c>
    </row>
    <row r="159">
      <c r="A159" s="70" t="s">
        <v>510</v>
      </c>
      <c r="B159" s="70" t="s">
        <v>511</v>
      </c>
      <c r="C159" s="70" t="s">
        <v>4</v>
      </c>
      <c r="D159" s="70" t="s">
        <v>662</v>
      </c>
      <c r="E159" s="70" t="s">
        <v>621</v>
      </c>
      <c r="F159" s="70">
        <v>2.0</v>
      </c>
      <c r="G159" s="70">
        <v>1.0</v>
      </c>
      <c r="H159" s="70">
        <v>2.0</v>
      </c>
      <c r="I159" s="70" t="s">
        <v>4</v>
      </c>
      <c r="J159" s="70" t="s">
        <v>622</v>
      </c>
    </row>
    <row r="160">
      <c r="A160" s="70" t="s">
        <v>519</v>
      </c>
      <c r="B160" s="70" t="s">
        <v>520</v>
      </c>
      <c r="C160" s="70" t="s">
        <v>4</v>
      </c>
      <c r="D160" s="70" t="s">
        <v>662</v>
      </c>
      <c r="E160" s="70" t="s">
        <v>621</v>
      </c>
      <c r="F160" s="70">
        <v>2.0</v>
      </c>
      <c r="G160" s="70">
        <v>1.0</v>
      </c>
      <c r="H160" s="70">
        <v>2.0</v>
      </c>
      <c r="I160" s="70" t="s">
        <v>4</v>
      </c>
      <c r="J160" s="70" t="s">
        <v>622</v>
      </c>
    </row>
    <row r="161">
      <c r="A161" s="70" t="s">
        <v>528</v>
      </c>
      <c r="B161" s="70" t="s">
        <v>529</v>
      </c>
      <c r="C161" s="70" t="s">
        <v>4</v>
      </c>
      <c r="D161" s="70" t="s">
        <v>662</v>
      </c>
      <c r="E161" s="70" t="s">
        <v>621</v>
      </c>
      <c r="F161" s="70">
        <v>2.0</v>
      </c>
      <c r="G161" s="70">
        <v>1.0</v>
      </c>
      <c r="H161" s="70">
        <v>2.0</v>
      </c>
      <c r="I161" s="70" t="s">
        <v>4</v>
      </c>
      <c r="J161" s="70" t="s">
        <v>622</v>
      </c>
    </row>
    <row r="162">
      <c r="A162" s="70" t="s">
        <v>534</v>
      </c>
      <c r="B162" s="70" t="s">
        <v>535</v>
      </c>
      <c r="C162" s="70" t="s">
        <v>4</v>
      </c>
      <c r="D162" s="70" t="s">
        <v>662</v>
      </c>
      <c r="E162" s="70" t="s">
        <v>621</v>
      </c>
      <c r="F162" s="70">
        <v>2.0</v>
      </c>
      <c r="G162" s="70">
        <v>1.0</v>
      </c>
      <c r="H162" s="70">
        <v>2.0</v>
      </c>
      <c r="I162" s="70" t="s">
        <v>4</v>
      </c>
      <c r="J162" s="70" t="s">
        <v>622</v>
      </c>
    </row>
    <row r="163">
      <c r="A163" s="70" t="s">
        <v>541</v>
      </c>
      <c r="B163" s="70" t="s">
        <v>542</v>
      </c>
      <c r="C163" s="70" t="s">
        <v>4</v>
      </c>
      <c r="D163" s="70" t="s">
        <v>662</v>
      </c>
      <c r="E163" s="70" t="s">
        <v>621</v>
      </c>
      <c r="F163" s="70">
        <v>2.0</v>
      </c>
      <c r="G163" s="70">
        <v>1.0</v>
      </c>
      <c r="H163" s="70">
        <v>2.0</v>
      </c>
      <c r="I163" s="70" t="s">
        <v>4</v>
      </c>
      <c r="J163" s="70" t="s">
        <v>622</v>
      </c>
    </row>
    <row r="164">
      <c r="A164" s="70" t="s">
        <v>548</v>
      </c>
      <c r="B164" s="70" t="s">
        <v>549</v>
      </c>
      <c r="C164" s="70" t="s">
        <v>4</v>
      </c>
      <c r="D164" s="70" t="s">
        <v>662</v>
      </c>
      <c r="E164" s="70" t="s">
        <v>647</v>
      </c>
      <c r="F164" s="70" t="s">
        <v>140</v>
      </c>
      <c r="G164" s="70">
        <v>5.0</v>
      </c>
      <c r="H164" s="70">
        <v>5.0</v>
      </c>
      <c r="I164" s="70" t="s">
        <v>4</v>
      </c>
      <c r="J164" s="70" t="s">
        <v>622</v>
      </c>
    </row>
    <row r="165">
      <c r="A165" s="70" t="s">
        <v>144</v>
      </c>
      <c r="B165" s="70" t="s">
        <v>147</v>
      </c>
      <c r="C165" s="70" t="s">
        <v>5</v>
      </c>
      <c r="D165" s="70" t="s">
        <v>662</v>
      </c>
      <c r="E165" s="70" t="s">
        <v>621</v>
      </c>
      <c r="F165" s="70">
        <v>2.0</v>
      </c>
      <c r="G165" s="70">
        <v>1.0</v>
      </c>
      <c r="H165" s="70">
        <v>2.0</v>
      </c>
      <c r="I165" s="70" t="s">
        <v>5</v>
      </c>
      <c r="J165" s="70" t="s">
        <v>622</v>
      </c>
    </row>
    <row r="166">
      <c r="A166" s="70" t="s">
        <v>202</v>
      </c>
      <c r="B166" s="70" t="s">
        <v>206</v>
      </c>
      <c r="C166" s="70" t="s">
        <v>5</v>
      </c>
      <c r="D166" s="70" t="s">
        <v>662</v>
      </c>
      <c r="E166" s="70" t="s">
        <v>621</v>
      </c>
      <c r="F166" s="70">
        <v>2.0</v>
      </c>
      <c r="G166" s="70">
        <v>1.0</v>
      </c>
      <c r="H166" s="70">
        <v>2.0</v>
      </c>
      <c r="I166" s="70" t="s">
        <v>5</v>
      </c>
      <c r="J166" s="70" t="s">
        <v>622</v>
      </c>
    </row>
    <row r="167">
      <c r="A167" s="70" t="s">
        <v>245</v>
      </c>
      <c r="B167" s="70" t="s">
        <v>248</v>
      </c>
      <c r="C167" s="70" t="s">
        <v>5</v>
      </c>
      <c r="D167" s="70" t="s">
        <v>662</v>
      </c>
      <c r="E167" s="70" t="s">
        <v>621</v>
      </c>
      <c r="F167" s="70">
        <v>2.0</v>
      </c>
      <c r="G167" s="70">
        <v>1.0</v>
      </c>
      <c r="H167" s="70">
        <v>2.0</v>
      </c>
      <c r="I167" s="70" t="s">
        <v>5</v>
      </c>
      <c r="J167" s="70" t="s">
        <v>622</v>
      </c>
    </row>
    <row r="168">
      <c r="A168" s="70" t="s">
        <v>296</v>
      </c>
      <c r="B168" s="70" t="s">
        <v>299</v>
      </c>
      <c r="C168" s="70" t="s">
        <v>5</v>
      </c>
      <c r="D168" s="70" t="s">
        <v>662</v>
      </c>
      <c r="E168" s="70" t="s">
        <v>621</v>
      </c>
      <c r="F168" s="70">
        <v>2.0</v>
      </c>
      <c r="G168" s="70">
        <v>1.0</v>
      </c>
      <c r="H168" s="70">
        <v>2.0</v>
      </c>
      <c r="I168" s="70" t="s">
        <v>5</v>
      </c>
      <c r="J168" s="70" t="s">
        <v>622</v>
      </c>
    </row>
    <row r="169">
      <c r="A169" s="70" t="s">
        <v>336</v>
      </c>
      <c r="B169" s="70" t="s">
        <v>337</v>
      </c>
      <c r="C169" s="70" t="s">
        <v>5</v>
      </c>
      <c r="D169" s="70" t="s">
        <v>662</v>
      </c>
      <c r="E169" s="70" t="s">
        <v>621</v>
      </c>
      <c r="F169" s="70">
        <v>2.0</v>
      </c>
      <c r="G169" s="70">
        <v>1.0</v>
      </c>
      <c r="H169" s="70">
        <v>2.0</v>
      </c>
      <c r="I169" s="70" t="s">
        <v>5</v>
      </c>
      <c r="J169" s="70" t="s">
        <v>622</v>
      </c>
    </row>
    <row r="170">
      <c r="A170" s="70" t="s">
        <v>365</v>
      </c>
      <c r="B170" s="70" t="s">
        <v>368</v>
      </c>
      <c r="C170" s="70" t="s">
        <v>5</v>
      </c>
      <c r="D170" s="70" t="s">
        <v>662</v>
      </c>
      <c r="E170" s="70" t="s">
        <v>621</v>
      </c>
      <c r="F170" s="70">
        <v>2.0</v>
      </c>
      <c r="G170" s="70">
        <v>1.0</v>
      </c>
      <c r="H170" s="70">
        <v>2.0</v>
      </c>
      <c r="I170" s="70" t="s">
        <v>5</v>
      </c>
      <c r="J170" s="70" t="s">
        <v>622</v>
      </c>
    </row>
    <row r="171">
      <c r="A171" s="70" t="s">
        <v>404</v>
      </c>
      <c r="B171" s="70" t="s">
        <v>407</v>
      </c>
      <c r="C171" s="70" t="s">
        <v>5</v>
      </c>
      <c r="D171" s="70" t="s">
        <v>662</v>
      </c>
      <c r="E171" s="70" t="s">
        <v>621</v>
      </c>
      <c r="F171" s="70">
        <v>2.0</v>
      </c>
      <c r="G171" s="70">
        <v>1.0</v>
      </c>
      <c r="H171" s="70">
        <v>2.0</v>
      </c>
      <c r="I171" s="70" t="s">
        <v>5</v>
      </c>
      <c r="J171" s="70" t="s">
        <v>622</v>
      </c>
    </row>
    <row r="172">
      <c r="A172" s="70" t="s">
        <v>431</v>
      </c>
      <c r="B172" s="70" t="s">
        <v>432</v>
      </c>
      <c r="C172" s="70" t="s">
        <v>5</v>
      </c>
      <c r="D172" s="70" t="s">
        <v>662</v>
      </c>
      <c r="E172" s="70" t="s">
        <v>621</v>
      </c>
      <c r="F172" s="70">
        <v>2.0</v>
      </c>
      <c r="G172" s="70">
        <v>1.0</v>
      </c>
      <c r="H172" s="70">
        <v>2.0</v>
      </c>
      <c r="I172" s="70" t="s">
        <v>5</v>
      </c>
      <c r="J172" s="70" t="s">
        <v>622</v>
      </c>
    </row>
    <row r="173">
      <c r="A173" s="70" t="s">
        <v>452</v>
      </c>
      <c r="B173" s="70" t="s">
        <v>453</v>
      </c>
      <c r="C173" s="70" t="s">
        <v>5</v>
      </c>
      <c r="D173" s="70" t="s">
        <v>662</v>
      </c>
      <c r="E173" s="70" t="s">
        <v>621</v>
      </c>
      <c r="F173" s="70">
        <v>2.0</v>
      </c>
      <c r="G173" s="70">
        <v>1.0</v>
      </c>
      <c r="H173" s="70">
        <v>2.0</v>
      </c>
      <c r="I173" s="70" t="s">
        <v>5</v>
      </c>
      <c r="J173" s="70" t="s">
        <v>622</v>
      </c>
    </row>
    <row r="174">
      <c r="A174" s="70" t="s">
        <v>464</v>
      </c>
      <c r="B174" s="70" t="s">
        <v>455</v>
      </c>
      <c r="C174" s="70" t="s">
        <v>5</v>
      </c>
      <c r="D174" s="70" t="s">
        <v>662</v>
      </c>
      <c r="E174" s="70" t="s">
        <v>621</v>
      </c>
      <c r="F174" s="70">
        <v>2.0</v>
      </c>
      <c r="G174" s="70">
        <v>1.0</v>
      </c>
      <c r="H174" s="70">
        <v>2.0</v>
      </c>
      <c r="I174" s="70" t="s">
        <v>5</v>
      </c>
      <c r="J174" s="70" t="s">
        <v>622</v>
      </c>
    </row>
    <row r="175">
      <c r="A175" s="70" t="s">
        <v>475</v>
      </c>
      <c r="B175" s="70" t="s">
        <v>466</v>
      </c>
      <c r="C175" s="70" t="s">
        <v>5</v>
      </c>
      <c r="D175" s="70" t="s">
        <v>662</v>
      </c>
      <c r="E175" s="70" t="s">
        <v>621</v>
      </c>
      <c r="F175" s="70">
        <v>2.0</v>
      </c>
      <c r="G175" s="70">
        <v>1.0</v>
      </c>
      <c r="H175" s="70">
        <v>2.0</v>
      </c>
      <c r="I175" s="70" t="s">
        <v>5</v>
      </c>
      <c r="J175" s="70" t="s">
        <v>622</v>
      </c>
    </row>
    <row r="176">
      <c r="A176" s="70" t="s">
        <v>484</v>
      </c>
      <c r="B176" s="70" t="s">
        <v>463</v>
      </c>
      <c r="C176" s="70" t="s">
        <v>5</v>
      </c>
      <c r="D176" s="70" t="s">
        <v>662</v>
      </c>
      <c r="E176" s="70" t="s">
        <v>621</v>
      </c>
      <c r="F176" s="70">
        <v>2.0</v>
      </c>
      <c r="G176" s="70">
        <v>1.0</v>
      </c>
      <c r="H176" s="70">
        <v>2.0</v>
      </c>
      <c r="I176" s="70" t="s">
        <v>5</v>
      </c>
      <c r="J176" s="70" t="s">
        <v>622</v>
      </c>
    </row>
    <row r="177">
      <c r="A177" s="70" t="s">
        <v>492</v>
      </c>
      <c r="B177" s="70" t="s">
        <v>493</v>
      </c>
      <c r="C177" s="70" t="s">
        <v>5</v>
      </c>
      <c r="D177" s="70" t="s">
        <v>662</v>
      </c>
      <c r="E177" s="70" t="s">
        <v>621</v>
      </c>
      <c r="F177" s="70">
        <v>2.0</v>
      </c>
      <c r="G177" s="70">
        <v>1.0</v>
      </c>
      <c r="H177" s="70">
        <v>2.0</v>
      </c>
      <c r="I177" s="70" t="s">
        <v>5</v>
      </c>
      <c r="J177" s="70" t="s">
        <v>622</v>
      </c>
    </row>
    <row r="178">
      <c r="A178" s="70" t="s">
        <v>501</v>
      </c>
      <c r="B178" s="70" t="s">
        <v>502</v>
      </c>
      <c r="C178" s="70" t="s">
        <v>5</v>
      </c>
      <c r="D178" s="70" t="s">
        <v>662</v>
      </c>
      <c r="E178" s="70" t="s">
        <v>621</v>
      </c>
      <c r="F178" s="70">
        <v>2.0</v>
      </c>
      <c r="G178" s="70">
        <v>1.0</v>
      </c>
      <c r="H178" s="70">
        <v>2.0</v>
      </c>
      <c r="I178" s="70" t="s">
        <v>5</v>
      </c>
      <c r="J178" s="70" t="s">
        <v>622</v>
      </c>
    </row>
    <row r="179">
      <c r="A179" s="70" t="s">
        <v>512</v>
      </c>
      <c r="B179" s="70" t="s">
        <v>513</v>
      </c>
      <c r="C179" s="70" t="s">
        <v>5</v>
      </c>
      <c r="D179" s="70" t="s">
        <v>662</v>
      </c>
      <c r="E179" s="70" t="s">
        <v>621</v>
      </c>
      <c r="F179" s="70">
        <v>2.0</v>
      </c>
      <c r="G179" s="70">
        <v>1.0</v>
      </c>
      <c r="H179" s="70">
        <v>2.0</v>
      </c>
      <c r="I179" s="70" t="s">
        <v>5</v>
      </c>
      <c r="J179" s="70" t="s">
        <v>622</v>
      </c>
    </row>
    <row r="180">
      <c r="A180" s="70" t="s">
        <v>522</v>
      </c>
      <c r="B180" s="70" t="s">
        <v>523</v>
      </c>
      <c r="C180" s="70" t="s">
        <v>5</v>
      </c>
      <c r="D180" s="70" t="s">
        <v>662</v>
      </c>
      <c r="E180" s="70" t="s">
        <v>621</v>
      </c>
      <c r="F180" s="70">
        <v>2.0</v>
      </c>
      <c r="G180" s="70">
        <v>1.0</v>
      </c>
      <c r="H180" s="70">
        <v>2.0</v>
      </c>
      <c r="I180" s="70" t="s">
        <v>5</v>
      </c>
      <c r="J180" s="70" t="s">
        <v>622</v>
      </c>
    </row>
    <row r="181">
      <c r="A181" s="70" t="s">
        <v>530</v>
      </c>
      <c r="B181" s="70" t="s">
        <v>520</v>
      </c>
      <c r="C181" s="70" t="s">
        <v>5</v>
      </c>
      <c r="D181" s="70" t="s">
        <v>662</v>
      </c>
      <c r="E181" s="70" t="s">
        <v>621</v>
      </c>
      <c r="F181" s="70">
        <v>2.0</v>
      </c>
      <c r="G181" s="70">
        <v>1.0</v>
      </c>
      <c r="H181" s="70">
        <v>2.0</v>
      </c>
      <c r="I181" s="70" t="s">
        <v>5</v>
      </c>
      <c r="J181" s="70" t="s">
        <v>622</v>
      </c>
    </row>
    <row r="182">
      <c r="A182" s="70" t="s">
        <v>536</v>
      </c>
      <c r="B182" s="70" t="s">
        <v>537</v>
      </c>
      <c r="C182" s="70" t="s">
        <v>5</v>
      </c>
      <c r="D182" s="70" t="s">
        <v>662</v>
      </c>
      <c r="E182" s="70" t="s">
        <v>621</v>
      </c>
      <c r="F182" s="70">
        <v>2.0</v>
      </c>
      <c r="G182" s="70">
        <v>1.0</v>
      </c>
      <c r="H182" s="70">
        <v>2.0</v>
      </c>
      <c r="I182" s="70" t="s">
        <v>5</v>
      </c>
      <c r="J182" s="70" t="s">
        <v>622</v>
      </c>
    </row>
    <row r="183">
      <c r="A183" s="70" t="s">
        <v>543</v>
      </c>
      <c r="B183" s="70" t="s">
        <v>544</v>
      </c>
      <c r="C183" s="70" t="s">
        <v>5</v>
      </c>
      <c r="D183" s="70" t="s">
        <v>662</v>
      </c>
      <c r="E183" s="70" t="s">
        <v>621</v>
      </c>
      <c r="F183" s="70">
        <v>2.0</v>
      </c>
      <c r="G183" s="70">
        <v>1.0</v>
      </c>
      <c r="H183" s="70">
        <v>2.0</v>
      </c>
      <c r="I183" s="70" t="s">
        <v>5</v>
      </c>
      <c r="J183" s="70" t="s">
        <v>622</v>
      </c>
    </row>
    <row r="184">
      <c r="A184" s="70" t="s">
        <v>550</v>
      </c>
      <c r="B184" s="70" t="s">
        <v>529</v>
      </c>
      <c r="C184" s="70" t="s">
        <v>5</v>
      </c>
      <c r="D184" s="70" t="s">
        <v>662</v>
      </c>
      <c r="E184" s="70" t="s">
        <v>621</v>
      </c>
      <c r="F184" s="70">
        <v>2.0</v>
      </c>
      <c r="G184" s="70">
        <v>1.0</v>
      </c>
      <c r="H184" s="70">
        <v>2.0</v>
      </c>
      <c r="I184" s="70" t="s">
        <v>5</v>
      </c>
      <c r="J184" s="70" t="s">
        <v>622</v>
      </c>
    </row>
    <row r="185">
      <c r="A185" s="70" t="s">
        <v>555</v>
      </c>
      <c r="B185" s="70" t="s">
        <v>556</v>
      </c>
      <c r="C185" s="70" t="s">
        <v>5</v>
      </c>
      <c r="D185" s="70" t="s">
        <v>662</v>
      </c>
      <c r="E185" s="70" t="s">
        <v>621</v>
      </c>
      <c r="F185" s="70">
        <v>2.0</v>
      </c>
      <c r="G185" s="70">
        <v>1.0</v>
      </c>
      <c r="H185" s="70">
        <v>2.0</v>
      </c>
      <c r="I185" s="70" t="s">
        <v>5</v>
      </c>
      <c r="J185" s="70" t="s">
        <v>622</v>
      </c>
    </row>
    <row r="186">
      <c r="A186" s="70" t="s">
        <v>561</v>
      </c>
      <c r="B186" s="70" t="s">
        <v>562</v>
      </c>
      <c r="C186" s="70" t="s">
        <v>5</v>
      </c>
      <c r="D186" s="70" t="s">
        <v>662</v>
      </c>
      <c r="E186" s="70" t="s">
        <v>621</v>
      </c>
      <c r="F186" s="70">
        <v>2.0</v>
      </c>
      <c r="G186" s="70">
        <v>1.0</v>
      </c>
      <c r="H186" s="70">
        <v>2.0</v>
      </c>
      <c r="I186" s="70" t="s">
        <v>5</v>
      </c>
      <c r="J186" s="70" t="s">
        <v>622</v>
      </c>
    </row>
    <row r="187">
      <c r="A187" s="70" t="s">
        <v>568</v>
      </c>
      <c r="B187" s="70" t="s">
        <v>569</v>
      </c>
      <c r="C187" s="70" t="s">
        <v>5</v>
      </c>
      <c r="D187" s="70" t="s">
        <v>662</v>
      </c>
      <c r="E187" s="70" t="s">
        <v>647</v>
      </c>
      <c r="F187" s="70" t="s">
        <v>140</v>
      </c>
      <c r="G187" s="70">
        <v>5.0</v>
      </c>
      <c r="H187" s="70">
        <v>5.0</v>
      </c>
      <c r="I187" s="70" t="s">
        <v>5</v>
      </c>
      <c r="J187" s="70" t="s">
        <v>622</v>
      </c>
    </row>
    <row r="188">
      <c r="A188" s="70" t="s">
        <v>573</v>
      </c>
      <c r="B188" s="70" t="s">
        <v>574</v>
      </c>
      <c r="C188" s="70" t="s">
        <v>5</v>
      </c>
      <c r="D188" s="70" t="s">
        <v>662</v>
      </c>
      <c r="E188" s="70" t="s">
        <v>647</v>
      </c>
      <c r="F188" s="70" t="s">
        <v>140</v>
      </c>
      <c r="G188" s="70">
        <v>5.0</v>
      </c>
      <c r="H188" s="70">
        <v>5.0</v>
      </c>
      <c r="I188" s="70" t="s">
        <v>5</v>
      </c>
      <c r="J188" s="70" t="s">
        <v>622</v>
      </c>
    </row>
    <row r="189">
      <c r="A189" s="70" t="s">
        <v>154</v>
      </c>
      <c r="B189" s="70" t="s">
        <v>158</v>
      </c>
      <c r="C189" s="70" t="s">
        <v>7</v>
      </c>
      <c r="D189" s="70" t="s">
        <v>662</v>
      </c>
      <c r="E189" s="70" t="s">
        <v>621</v>
      </c>
      <c r="F189" s="70">
        <v>2.0</v>
      </c>
      <c r="G189" s="70">
        <v>1.0</v>
      </c>
      <c r="H189" s="70">
        <v>2.0</v>
      </c>
      <c r="I189" s="70" t="s">
        <v>7</v>
      </c>
      <c r="J189" s="70" t="s">
        <v>622</v>
      </c>
    </row>
    <row r="190">
      <c r="A190" s="70" t="s">
        <v>211</v>
      </c>
      <c r="B190" s="70" t="s">
        <v>214</v>
      </c>
      <c r="C190" s="70" t="s">
        <v>7</v>
      </c>
      <c r="D190" s="70" t="s">
        <v>662</v>
      </c>
      <c r="E190" s="70" t="s">
        <v>621</v>
      </c>
      <c r="F190" s="70">
        <v>2.0</v>
      </c>
      <c r="G190" s="70">
        <v>1.0</v>
      </c>
      <c r="H190" s="70">
        <v>2.0</v>
      </c>
      <c r="I190" s="70" t="s">
        <v>7</v>
      </c>
      <c r="J190" s="70" t="s">
        <v>622</v>
      </c>
    </row>
    <row r="191">
      <c r="A191" s="70" t="s">
        <v>254</v>
      </c>
      <c r="B191" s="70" t="s">
        <v>257</v>
      </c>
      <c r="C191" s="70" t="s">
        <v>7</v>
      </c>
      <c r="D191" s="70" t="s">
        <v>662</v>
      </c>
      <c r="E191" s="70" t="s">
        <v>621</v>
      </c>
      <c r="F191" s="70">
        <v>2.0</v>
      </c>
      <c r="G191" s="70">
        <v>1.0</v>
      </c>
      <c r="H191" s="70">
        <v>2.0</v>
      </c>
      <c r="I191" s="70" t="s">
        <v>7</v>
      </c>
      <c r="J191" s="70" t="s">
        <v>622</v>
      </c>
    </row>
    <row r="192">
      <c r="A192" s="70" t="s">
        <v>305</v>
      </c>
      <c r="B192" s="70" t="s">
        <v>308</v>
      </c>
      <c r="C192" s="70" t="s">
        <v>7</v>
      </c>
      <c r="D192" s="70" t="s">
        <v>662</v>
      </c>
      <c r="E192" s="70" t="s">
        <v>621</v>
      </c>
      <c r="F192" s="70">
        <v>2.0</v>
      </c>
      <c r="G192" s="70">
        <v>1.0</v>
      </c>
      <c r="H192" s="70">
        <v>2.0</v>
      </c>
      <c r="I192" s="70" t="s">
        <v>7</v>
      </c>
      <c r="J192" s="70" t="s">
        <v>622</v>
      </c>
    </row>
    <row r="193">
      <c r="A193" s="70" t="s">
        <v>339</v>
      </c>
      <c r="B193" s="70" t="s">
        <v>248</v>
      </c>
      <c r="C193" s="70" t="s">
        <v>7</v>
      </c>
      <c r="D193" s="70" t="s">
        <v>662</v>
      </c>
      <c r="E193" s="70" t="s">
        <v>621</v>
      </c>
      <c r="F193" s="70">
        <v>2.0</v>
      </c>
      <c r="G193" s="70">
        <v>1.0</v>
      </c>
      <c r="H193" s="70">
        <v>2.0</v>
      </c>
      <c r="I193" s="70" t="s">
        <v>7</v>
      </c>
      <c r="J193" s="70" t="s">
        <v>622</v>
      </c>
    </row>
    <row r="194">
      <c r="A194" s="70" t="s">
        <v>373</v>
      </c>
      <c r="B194" s="70" t="s">
        <v>299</v>
      </c>
      <c r="C194" s="70" t="s">
        <v>7</v>
      </c>
      <c r="D194" s="70" t="s">
        <v>662</v>
      </c>
      <c r="E194" s="70" t="s">
        <v>621</v>
      </c>
      <c r="F194" s="70">
        <v>2.0</v>
      </c>
      <c r="G194" s="70">
        <v>1.0</v>
      </c>
      <c r="H194" s="70">
        <v>2.0</v>
      </c>
      <c r="I194" s="70" t="s">
        <v>7</v>
      </c>
      <c r="J194" s="70" t="s">
        <v>622</v>
      </c>
    </row>
    <row r="195">
      <c r="A195" s="70" t="s">
        <v>410</v>
      </c>
      <c r="B195" s="70" t="s">
        <v>337</v>
      </c>
      <c r="C195" s="70" t="s">
        <v>7</v>
      </c>
      <c r="D195" s="70" t="s">
        <v>662</v>
      </c>
      <c r="E195" s="70" t="s">
        <v>621</v>
      </c>
      <c r="F195" s="70">
        <v>2.0</v>
      </c>
      <c r="G195" s="70">
        <v>1.0</v>
      </c>
      <c r="H195" s="70">
        <v>2.0</v>
      </c>
      <c r="I195" s="70" t="s">
        <v>7</v>
      </c>
      <c r="J195" s="70" t="s">
        <v>622</v>
      </c>
    </row>
    <row r="196">
      <c r="A196" s="70" t="s">
        <v>434</v>
      </c>
      <c r="B196" s="70" t="s">
        <v>368</v>
      </c>
      <c r="C196" s="70" t="s">
        <v>7</v>
      </c>
      <c r="D196" s="70" t="s">
        <v>662</v>
      </c>
      <c r="E196" s="70" t="s">
        <v>621</v>
      </c>
      <c r="F196" s="70">
        <v>2.0</v>
      </c>
      <c r="G196" s="70">
        <v>1.0</v>
      </c>
      <c r="H196" s="70">
        <v>2.0</v>
      </c>
      <c r="I196" s="70" t="s">
        <v>7</v>
      </c>
      <c r="J196" s="70" t="s">
        <v>622</v>
      </c>
    </row>
    <row r="197">
      <c r="A197" s="70" t="s">
        <v>454</v>
      </c>
      <c r="B197" s="70" t="s">
        <v>455</v>
      </c>
      <c r="C197" s="70" t="s">
        <v>7</v>
      </c>
      <c r="D197" s="70" t="s">
        <v>662</v>
      </c>
      <c r="E197" s="70" t="s">
        <v>621</v>
      </c>
      <c r="F197" s="70">
        <v>2.0</v>
      </c>
      <c r="G197" s="70">
        <v>1.0</v>
      </c>
      <c r="H197" s="70">
        <v>2.0</v>
      </c>
      <c r="I197" s="70" t="s">
        <v>7</v>
      </c>
      <c r="J197" s="70" t="s">
        <v>622</v>
      </c>
    </row>
    <row r="198">
      <c r="A198" s="70" t="s">
        <v>465</v>
      </c>
      <c r="B198" s="70" t="s">
        <v>466</v>
      </c>
      <c r="C198" s="70" t="s">
        <v>7</v>
      </c>
      <c r="D198" s="70" t="s">
        <v>662</v>
      </c>
      <c r="E198" s="70" t="s">
        <v>621</v>
      </c>
      <c r="F198" s="70">
        <v>2.0</v>
      </c>
      <c r="G198" s="70">
        <v>1.0</v>
      </c>
      <c r="H198" s="70">
        <v>2.0</v>
      </c>
      <c r="I198" s="70" t="s">
        <v>7</v>
      </c>
      <c r="J198" s="70" t="s">
        <v>622</v>
      </c>
    </row>
    <row r="199">
      <c r="A199" s="70" t="s">
        <v>476</v>
      </c>
      <c r="B199" s="70" t="s">
        <v>477</v>
      </c>
      <c r="C199" s="70" t="s">
        <v>7</v>
      </c>
      <c r="D199" s="70" t="s">
        <v>662</v>
      </c>
      <c r="E199" s="70" t="s">
        <v>621</v>
      </c>
      <c r="F199" s="70">
        <v>2.0</v>
      </c>
      <c r="G199" s="70">
        <v>1.0</v>
      </c>
      <c r="H199" s="70">
        <v>2.0</v>
      </c>
      <c r="I199" s="70" t="s">
        <v>7</v>
      </c>
      <c r="J199" s="70" t="s">
        <v>622</v>
      </c>
    </row>
    <row r="200">
      <c r="A200" s="70" t="s">
        <v>485</v>
      </c>
      <c r="B200" s="70" t="s">
        <v>486</v>
      </c>
      <c r="C200" s="70" t="s">
        <v>7</v>
      </c>
      <c r="D200" s="70" t="s">
        <v>662</v>
      </c>
      <c r="E200" s="70" t="s">
        <v>621</v>
      </c>
      <c r="F200" s="70">
        <v>2.0</v>
      </c>
      <c r="G200" s="70">
        <v>1.0</v>
      </c>
      <c r="H200" s="70">
        <v>2.0</v>
      </c>
      <c r="I200" s="70" t="s">
        <v>7</v>
      </c>
      <c r="J200" s="70" t="s">
        <v>622</v>
      </c>
    </row>
    <row r="201">
      <c r="A201" s="70" t="s">
        <v>495</v>
      </c>
      <c r="B201" s="70" t="s">
        <v>496</v>
      </c>
      <c r="C201" s="70" t="s">
        <v>7</v>
      </c>
      <c r="D201" s="70" t="s">
        <v>662</v>
      </c>
      <c r="E201" s="70" t="s">
        <v>621</v>
      </c>
      <c r="F201" s="70">
        <v>2.0</v>
      </c>
      <c r="G201" s="70">
        <v>1.0</v>
      </c>
      <c r="H201" s="70">
        <v>2.0</v>
      </c>
      <c r="I201" s="70" t="s">
        <v>7</v>
      </c>
      <c r="J201" s="70" t="s">
        <v>622</v>
      </c>
    </row>
    <row r="202">
      <c r="A202" s="70" t="s">
        <v>503</v>
      </c>
      <c r="B202" s="70" t="s">
        <v>504</v>
      </c>
      <c r="C202" s="70" t="s">
        <v>7</v>
      </c>
      <c r="D202" s="70" t="s">
        <v>662</v>
      </c>
      <c r="E202" s="70" t="s">
        <v>621</v>
      </c>
      <c r="F202" s="70">
        <v>2.0</v>
      </c>
      <c r="G202" s="70">
        <v>1.0</v>
      </c>
      <c r="H202" s="70">
        <v>2.0</v>
      </c>
      <c r="I202" s="70" t="s">
        <v>7</v>
      </c>
      <c r="J202" s="70" t="s">
        <v>622</v>
      </c>
    </row>
    <row r="203">
      <c r="A203" s="70" t="s">
        <v>514</v>
      </c>
      <c r="B203" s="70" t="s">
        <v>515</v>
      </c>
      <c r="C203" s="70" t="s">
        <v>7</v>
      </c>
      <c r="D203" s="70" t="s">
        <v>662</v>
      </c>
      <c r="E203" s="70" t="s">
        <v>621</v>
      </c>
      <c r="F203" s="70">
        <v>2.0</v>
      </c>
      <c r="G203" s="70">
        <v>1.0</v>
      </c>
      <c r="H203" s="70">
        <v>2.0</v>
      </c>
      <c r="I203" s="70" t="s">
        <v>7</v>
      </c>
      <c r="J203" s="70" t="s">
        <v>622</v>
      </c>
    </row>
    <row r="204">
      <c r="A204" s="70" t="s">
        <v>524</v>
      </c>
      <c r="B204" s="70" t="s">
        <v>525</v>
      </c>
      <c r="C204" s="70" t="s">
        <v>7</v>
      </c>
      <c r="D204" s="70" t="s">
        <v>662</v>
      </c>
      <c r="E204" s="70" t="s">
        <v>621</v>
      </c>
      <c r="F204" s="70">
        <v>2.0</v>
      </c>
      <c r="G204" s="70">
        <v>1.0</v>
      </c>
      <c r="H204" s="70">
        <v>2.0</v>
      </c>
      <c r="I204" s="70" t="s">
        <v>7</v>
      </c>
      <c r="J204" s="70" t="s">
        <v>622</v>
      </c>
    </row>
    <row r="205">
      <c r="A205" s="70" t="s">
        <v>531</v>
      </c>
      <c r="B205" s="70" t="s">
        <v>463</v>
      </c>
      <c r="C205" s="70" t="s">
        <v>7</v>
      </c>
      <c r="D205" s="70" t="s">
        <v>662</v>
      </c>
      <c r="E205" s="70" t="s">
        <v>621</v>
      </c>
      <c r="F205" s="70">
        <v>2.0</v>
      </c>
      <c r="G205" s="70">
        <v>1.0</v>
      </c>
      <c r="H205" s="70">
        <v>2.0</v>
      </c>
      <c r="I205" s="70" t="s">
        <v>7</v>
      </c>
      <c r="J205" s="70" t="s">
        <v>622</v>
      </c>
    </row>
    <row r="206">
      <c r="A206" s="70" t="s">
        <v>538</v>
      </c>
      <c r="B206" s="70" t="s">
        <v>493</v>
      </c>
      <c r="C206" s="70" t="s">
        <v>7</v>
      </c>
      <c r="D206" s="70" t="s">
        <v>662</v>
      </c>
      <c r="E206" s="70" t="s">
        <v>621</v>
      </c>
      <c r="F206" s="70">
        <v>2.0</v>
      </c>
      <c r="G206" s="70">
        <v>1.0</v>
      </c>
      <c r="H206" s="70">
        <v>2.0</v>
      </c>
      <c r="I206" s="70" t="s">
        <v>7</v>
      </c>
      <c r="J206" s="70" t="s">
        <v>622</v>
      </c>
    </row>
    <row r="207">
      <c r="A207" s="70" t="s">
        <v>545</v>
      </c>
      <c r="B207" s="70" t="s">
        <v>502</v>
      </c>
      <c r="C207" s="70" t="s">
        <v>7</v>
      </c>
      <c r="D207" s="70" t="s">
        <v>662</v>
      </c>
      <c r="E207" s="70" t="s">
        <v>621</v>
      </c>
      <c r="F207" s="70">
        <v>2.0</v>
      </c>
      <c r="G207" s="70">
        <v>1.0</v>
      </c>
      <c r="H207" s="70">
        <v>2.0</v>
      </c>
      <c r="I207" s="70" t="s">
        <v>7</v>
      </c>
      <c r="J207" s="70" t="s">
        <v>622</v>
      </c>
    </row>
    <row r="208">
      <c r="A208" s="70" t="s">
        <v>551</v>
      </c>
      <c r="B208" s="70" t="s">
        <v>513</v>
      </c>
      <c r="C208" s="70" t="s">
        <v>7</v>
      </c>
      <c r="D208" s="70" t="s">
        <v>662</v>
      </c>
      <c r="E208" s="70" t="s">
        <v>621</v>
      </c>
      <c r="F208" s="70">
        <v>2.0</v>
      </c>
      <c r="G208" s="70">
        <v>1.0</v>
      </c>
      <c r="H208" s="70">
        <v>2.0</v>
      </c>
      <c r="I208" s="70" t="s">
        <v>7</v>
      </c>
      <c r="J208" s="70" t="s">
        <v>622</v>
      </c>
    </row>
    <row r="209">
      <c r="A209" s="70" t="s">
        <v>557</v>
      </c>
      <c r="B209" s="70" t="s">
        <v>558</v>
      </c>
      <c r="C209" s="70" t="s">
        <v>7</v>
      </c>
      <c r="D209" s="70" t="s">
        <v>662</v>
      </c>
      <c r="E209" s="70" t="s">
        <v>621</v>
      </c>
      <c r="F209" s="70">
        <v>2.0</v>
      </c>
      <c r="G209" s="70">
        <v>1.0</v>
      </c>
      <c r="H209" s="70">
        <v>2.0</v>
      </c>
      <c r="I209" s="70" t="s">
        <v>7</v>
      </c>
      <c r="J209" s="70" t="s">
        <v>622</v>
      </c>
    </row>
    <row r="210">
      <c r="A210" s="70" t="s">
        <v>563</v>
      </c>
      <c r="B210" s="70" t="s">
        <v>564</v>
      </c>
      <c r="C210" s="70" t="s">
        <v>7</v>
      </c>
      <c r="D210" s="70" t="s">
        <v>662</v>
      </c>
      <c r="E210" s="70" t="s">
        <v>621</v>
      </c>
      <c r="F210" s="70">
        <v>2.0</v>
      </c>
      <c r="G210" s="70">
        <v>1.0</v>
      </c>
      <c r="H210" s="70">
        <v>2.0</v>
      </c>
      <c r="I210" s="70" t="s">
        <v>7</v>
      </c>
      <c r="J210" s="70" t="s">
        <v>622</v>
      </c>
    </row>
    <row r="211">
      <c r="A211" s="70" t="s">
        <v>570</v>
      </c>
      <c r="B211" s="70" t="s">
        <v>520</v>
      </c>
      <c r="C211" s="70" t="s">
        <v>7</v>
      </c>
      <c r="D211" s="70" t="s">
        <v>662</v>
      </c>
      <c r="E211" s="70" t="s">
        <v>621</v>
      </c>
      <c r="F211" s="70">
        <v>2.0</v>
      </c>
      <c r="G211" s="70">
        <v>1.0</v>
      </c>
      <c r="H211" s="70">
        <v>2.0</v>
      </c>
      <c r="I211" s="70" t="s">
        <v>7</v>
      </c>
      <c r="J211" s="70" t="s">
        <v>622</v>
      </c>
    </row>
    <row r="212">
      <c r="A212" s="70" t="s">
        <v>575</v>
      </c>
      <c r="B212" s="70" t="s">
        <v>576</v>
      </c>
      <c r="C212" s="70" t="s">
        <v>7</v>
      </c>
      <c r="D212" s="70" t="s">
        <v>662</v>
      </c>
      <c r="E212" s="70" t="s">
        <v>621</v>
      </c>
      <c r="F212" s="70">
        <v>2.0</v>
      </c>
      <c r="G212" s="70">
        <v>1.0</v>
      </c>
      <c r="H212" s="70">
        <v>2.0</v>
      </c>
      <c r="I212" s="70" t="s">
        <v>7</v>
      </c>
      <c r="J212" s="70" t="s">
        <v>622</v>
      </c>
    </row>
    <row r="213">
      <c r="A213" s="70" t="s">
        <v>580</v>
      </c>
      <c r="B213" s="70" t="s">
        <v>581</v>
      </c>
      <c r="C213" s="70" t="s">
        <v>7</v>
      </c>
      <c r="D213" s="70" t="s">
        <v>662</v>
      </c>
      <c r="E213" s="70" t="s">
        <v>621</v>
      </c>
      <c r="F213" s="70">
        <v>2.0</v>
      </c>
      <c r="G213" s="70">
        <v>1.0</v>
      </c>
      <c r="H213" s="70">
        <v>2.0</v>
      </c>
      <c r="I213" s="70" t="s">
        <v>7</v>
      </c>
      <c r="J213" s="70" t="s">
        <v>622</v>
      </c>
    </row>
    <row r="214">
      <c r="A214" s="70" t="s">
        <v>584</v>
      </c>
      <c r="B214" s="70" t="s">
        <v>585</v>
      </c>
      <c r="C214" s="70" t="s">
        <v>7</v>
      </c>
      <c r="D214" s="70" t="s">
        <v>662</v>
      </c>
      <c r="E214" s="70" t="s">
        <v>621</v>
      </c>
      <c r="F214" s="70">
        <v>2.0</v>
      </c>
      <c r="G214" s="70">
        <v>1.0</v>
      </c>
      <c r="H214" s="70">
        <v>2.0</v>
      </c>
      <c r="I214" s="70" t="s">
        <v>7</v>
      </c>
      <c r="J214" s="70" t="s">
        <v>622</v>
      </c>
    </row>
    <row r="215">
      <c r="A215" s="70" t="s">
        <v>588</v>
      </c>
      <c r="B215" s="70" t="s">
        <v>589</v>
      </c>
      <c r="C215" s="70" t="s">
        <v>7</v>
      </c>
      <c r="D215" s="70" t="s">
        <v>662</v>
      </c>
      <c r="E215" s="70" t="s">
        <v>621</v>
      </c>
      <c r="F215" s="70">
        <v>2.0</v>
      </c>
      <c r="G215" s="70">
        <v>1.0</v>
      </c>
      <c r="H215" s="70">
        <v>2.0</v>
      </c>
      <c r="I215" s="70" t="s">
        <v>7</v>
      </c>
      <c r="J215" s="70" t="s">
        <v>622</v>
      </c>
    </row>
    <row r="216">
      <c r="A216" s="70" t="s">
        <v>593</v>
      </c>
      <c r="B216" s="70" t="s">
        <v>594</v>
      </c>
      <c r="C216" s="70" t="s">
        <v>7</v>
      </c>
      <c r="D216" s="70" t="s">
        <v>662</v>
      </c>
      <c r="E216" s="70" t="s">
        <v>647</v>
      </c>
      <c r="F216" s="70" t="s">
        <v>140</v>
      </c>
      <c r="G216" s="70">
        <v>5.0</v>
      </c>
      <c r="H216" s="70">
        <v>5.0</v>
      </c>
      <c r="I216" s="70" t="s">
        <v>7</v>
      </c>
      <c r="J216" s="70" t="s">
        <v>622</v>
      </c>
    </row>
    <row r="217">
      <c r="A217" s="70" t="s">
        <v>163</v>
      </c>
      <c r="B217" s="70" t="s">
        <v>166</v>
      </c>
      <c r="C217" s="70" t="s">
        <v>8</v>
      </c>
      <c r="D217" s="70" t="s">
        <v>662</v>
      </c>
      <c r="E217" s="70" t="s">
        <v>621</v>
      </c>
      <c r="F217" s="70">
        <v>2.0</v>
      </c>
      <c r="G217" s="70">
        <v>1.0</v>
      </c>
      <c r="H217" s="70">
        <v>2.0</v>
      </c>
      <c r="I217" s="70" t="s">
        <v>8</v>
      </c>
      <c r="J217" s="70" t="s">
        <v>622</v>
      </c>
    </row>
    <row r="218">
      <c r="A218" s="70" t="s">
        <v>217</v>
      </c>
      <c r="B218" s="70" t="s">
        <v>220</v>
      </c>
      <c r="C218" s="70" t="s">
        <v>8</v>
      </c>
      <c r="D218" s="70" t="s">
        <v>662</v>
      </c>
      <c r="E218" s="70" t="s">
        <v>621</v>
      </c>
      <c r="F218" s="70">
        <v>2.0</v>
      </c>
      <c r="G218" s="70">
        <v>1.0</v>
      </c>
      <c r="H218" s="70">
        <v>2.0</v>
      </c>
      <c r="I218" s="70" t="s">
        <v>8</v>
      </c>
      <c r="J218" s="70" t="s">
        <v>622</v>
      </c>
    </row>
    <row r="219">
      <c r="A219" s="70" t="s">
        <v>262</v>
      </c>
      <c r="B219" s="70" t="s">
        <v>265</v>
      </c>
      <c r="C219" s="70" t="s">
        <v>8</v>
      </c>
      <c r="D219" s="70" t="s">
        <v>662</v>
      </c>
      <c r="E219" s="70" t="s">
        <v>621</v>
      </c>
      <c r="F219" s="70">
        <v>2.0</v>
      </c>
      <c r="G219" s="70">
        <v>1.0</v>
      </c>
      <c r="H219" s="70">
        <v>2.0</v>
      </c>
      <c r="I219" s="70" t="s">
        <v>8</v>
      </c>
      <c r="J219" s="70" t="s">
        <v>622</v>
      </c>
    </row>
    <row r="220">
      <c r="A220" s="70" t="s">
        <v>312</v>
      </c>
      <c r="B220" s="70" t="s">
        <v>316</v>
      </c>
      <c r="C220" s="70" t="s">
        <v>8</v>
      </c>
      <c r="D220" s="70" t="s">
        <v>662</v>
      </c>
      <c r="E220" s="70" t="s">
        <v>621</v>
      </c>
      <c r="F220" s="70">
        <v>2.0</v>
      </c>
      <c r="G220" s="70">
        <v>1.0</v>
      </c>
      <c r="H220" s="70">
        <v>2.0</v>
      </c>
      <c r="I220" s="70" t="s">
        <v>8</v>
      </c>
      <c r="J220" s="70" t="s">
        <v>622</v>
      </c>
    </row>
    <row r="221">
      <c r="A221" s="70" t="s">
        <v>342</v>
      </c>
      <c r="B221" s="70" t="s">
        <v>345</v>
      </c>
      <c r="C221" s="70" t="s">
        <v>8</v>
      </c>
      <c r="D221" s="70" t="s">
        <v>662</v>
      </c>
      <c r="E221" s="70" t="s">
        <v>621</v>
      </c>
      <c r="F221" s="70">
        <v>2.0</v>
      </c>
      <c r="G221" s="70">
        <v>1.0</v>
      </c>
      <c r="H221" s="70">
        <v>2.0</v>
      </c>
      <c r="I221" s="70" t="s">
        <v>8</v>
      </c>
      <c r="J221" s="70" t="s">
        <v>622</v>
      </c>
    </row>
    <row r="222">
      <c r="A222" s="70" t="s">
        <v>378</v>
      </c>
      <c r="B222" s="70" t="s">
        <v>248</v>
      </c>
      <c r="C222" s="70" t="s">
        <v>8</v>
      </c>
      <c r="D222" s="70" t="s">
        <v>662</v>
      </c>
      <c r="E222" s="70" t="s">
        <v>621</v>
      </c>
      <c r="F222" s="70">
        <v>2.0</v>
      </c>
      <c r="G222" s="70">
        <v>1.0</v>
      </c>
      <c r="H222" s="70">
        <v>2.0</v>
      </c>
      <c r="I222" s="70" t="s">
        <v>8</v>
      </c>
      <c r="J222" s="70" t="s">
        <v>622</v>
      </c>
    </row>
    <row r="223">
      <c r="A223" s="70" t="s">
        <v>415</v>
      </c>
      <c r="B223" s="70" t="s">
        <v>337</v>
      </c>
      <c r="C223" s="70" t="s">
        <v>8</v>
      </c>
      <c r="D223" s="70" t="s">
        <v>662</v>
      </c>
      <c r="E223" s="70" t="s">
        <v>621</v>
      </c>
      <c r="F223" s="70">
        <v>2.0</v>
      </c>
      <c r="G223" s="70">
        <v>1.0</v>
      </c>
      <c r="H223" s="70">
        <v>2.0</v>
      </c>
      <c r="I223" s="70" t="s">
        <v>8</v>
      </c>
      <c r="J223" s="70" t="s">
        <v>622</v>
      </c>
    </row>
    <row r="224">
      <c r="A224" s="70" t="s">
        <v>438</v>
      </c>
      <c r="B224" s="70" t="s">
        <v>368</v>
      </c>
      <c r="C224" s="70" t="s">
        <v>8</v>
      </c>
      <c r="D224" s="70" t="s">
        <v>662</v>
      </c>
      <c r="E224" s="70" t="s">
        <v>621</v>
      </c>
      <c r="F224" s="70">
        <v>2.0</v>
      </c>
      <c r="G224" s="70">
        <v>1.0</v>
      </c>
      <c r="H224" s="70">
        <v>2.0</v>
      </c>
      <c r="I224" s="70" t="s">
        <v>8</v>
      </c>
      <c r="J224" s="70" t="s">
        <v>622</v>
      </c>
    </row>
    <row r="225">
      <c r="A225" s="70" t="s">
        <v>456</v>
      </c>
      <c r="B225" s="70" t="s">
        <v>457</v>
      </c>
      <c r="C225" s="70" t="s">
        <v>8</v>
      </c>
      <c r="D225" s="70" t="s">
        <v>662</v>
      </c>
      <c r="E225" s="70" t="s">
        <v>621</v>
      </c>
      <c r="F225" s="70">
        <v>2.0</v>
      </c>
      <c r="G225" s="70">
        <v>1.0</v>
      </c>
      <c r="H225" s="70">
        <v>2.0</v>
      </c>
      <c r="I225" s="70" t="s">
        <v>8</v>
      </c>
      <c r="J225" s="70" t="s">
        <v>622</v>
      </c>
    </row>
    <row r="226">
      <c r="A226" s="70" t="s">
        <v>468</v>
      </c>
      <c r="B226" s="70" t="s">
        <v>432</v>
      </c>
      <c r="C226" s="70" t="s">
        <v>8</v>
      </c>
      <c r="D226" s="70" t="s">
        <v>662</v>
      </c>
      <c r="E226" s="70" t="s">
        <v>621</v>
      </c>
      <c r="F226" s="70">
        <v>2.0</v>
      </c>
      <c r="G226" s="70">
        <v>1.0</v>
      </c>
      <c r="H226" s="70">
        <v>2.0</v>
      </c>
      <c r="I226" s="70" t="s">
        <v>8</v>
      </c>
      <c r="J226" s="70" t="s">
        <v>622</v>
      </c>
    </row>
    <row r="227">
      <c r="A227" s="70" t="s">
        <v>478</v>
      </c>
      <c r="B227" s="70" t="s">
        <v>453</v>
      </c>
      <c r="C227" s="70" t="s">
        <v>8</v>
      </c>
      <c r="D227" s="70" t="s">
        <v>662</v>
      </c>
      <c r="E227" s="70" t="s">
        <v>621</v>
      </c>
      <c r="F227" s="70">
        <v>2.0</v>
      </c>
      <c r="G227" s="70">
        <v>1.0</v>
      </c>
      <c r="H227" s="70">
        <v>2.0</v>
      </c>
      <c r="I227" s="70" t="s">
        <v>8</v>
      </c>
      <c r="J227" s="70" t="s">
        <v>622</v>
      </c>
    </row>
    <row r="228">
      <c r="A228" s="70" t="s">
        <v>487</v>
      </c>
      <c r="B228" s="70" t="s">
        <v>455</v>
      </c>
      <c r="C228" s="70" t="s">
        <v>8</v>
      </c>
      <c r="D228" s="70" t="s">
        <v>662</v>
      </c>
      <c r="E228" s="70" t="s">
        <v>621</v>
      </c>
      <c r="F228" s="70">
        <v>2.0</v>
      </c>
      <c r="G228" s="70">
        <v>1.0</v>
      </c>
      <c r="H228" s="70">
        <v>2.0</v>
      </c>
      <c r="I228" s="70" t="s">
        <v>8</v>
      </c>
      <c r="J228" s="70" t="s">
        <v>622</v>
      </c>
    </row>
    <row r="229">
      <c r="A229" s="70" t="s">
        <v>497</v>
      </c>
      <c r="B229" s="70" t="s">
        <v>466</v>
      </c>
      <c r="C229" s="70" t="s">
        <v>8</v>
      </c>
      <c r="D229" s="70" t="s">
        <v>662</v>
      </c>
      <c r="E229" s="70" t="s">
        <v>621</v>
      </c>
      <c r="F229" s="70">
        <v>2.0</v>
      </c>
      <c r="G229" s="70">
        <v>1.0</v>
      </c>
      <c r="H229" s="70">
        <v>2.0</v>
      </c>
      <c r="I229" s="70" t="s">
        <v>8</v>
      </c>
      <c r="J229" s="70" t="s">
        <v>622</v>
      </c>
    </row>
    <row r="230">
      <c r="A230" s="70" t="s">
        <v>505</v>
      </c>
      <c r="B230" s="70" t="s">
        <v>506</v>
      </c>
      <c r="C230" s="70" t="s">
        <v>8</v>
      </c>
      <c r="D230" s="70" t="s">
        <v>662</v>
      </c>
      <c r="E230" s="70" t="s">
        <v>621</v>
      </c>
      <c r="F230" s="70">
        <v>2.0</v>
      </c>
      <c r="G230" s="70">
        <v>1.0</v>
      </c>
      <c r="H230" s="70">
        <v>2.0</v>
      </c>
      <c r="I230" s="70" t="s">
        <v>8</v>
      </c>
      <c r="J230" s="70" t="s">
        <v>622</v>
      </c>
    </row>
    <row r="231">
      <c r="A231" s="70" t="s">
        <v>516</v>
      </c>
      <c r="B231" s="70" t="s">
        <v>463</v>
      </c>
      <c r="C231" s="70" t="s">
        <v>8</v>
      </c>
      <c r="D231" s="70" t="s">
        <v>662</v>
      </c>
      <c r="E231" s="70" t="s">
        <v>621</v>
      </c>
      <c r="F231" s="70">
        <v>2.0</v>
      </c>
      <c r="G231" s="70">
        <v>1.0</v>
      </c>
      <c r="H231" s="70">
        <v>2.0</v>
      </c>
      <c r="I231" s="70" t="s">
        <v>8</v>
      </c>
      <c r="J231" s="70" t="s">
        <v>622</v>
      </c>
    </row>
    <row r="232">
      <c r="A232" s="70" t="s">
        <v>526</v>
      </c>
      <c r="B232" s="70" t="s">
        <v>493</v>
      </c>
      <c r="C232" s="70" t="s">
        <v>8</v>
      </c>
      <c r="D232" s="70" t="s">
        <v>662</v>
      </c>
      <c r="E232" s="70" t="s">
        <v>621</v>
      </c>
      <c r="F232" s="70">
        <v>2.0</v>
      </c>
      <c r="G232" s="70">
        <v>1.0</v>
      </c>
      <c r="H232" s="70">
        <v>2.0</v>
      </c>
      <c r="I232" s="70" t="s">
        <v>8</v>
      </c>
      <c r="J232" s="70" t="s">
        <v>622</v>
      </c>
    </row>
    <row r="233">
      <c r="A233" s="70" t="s">
        <v>532</v>
      </c>
      <c r="B233" s="70" t="s">
        <v>502</v>
      </c>
      <c r="C233" s="70" t="s">
        <v>8</v>
      </c>
      <c r="D233" s="70" t="s">
        <v>662</v>
      </c>
      <c r="E233" s="70" t="s">
        <v>621</v>
      </c>
      <c r="F233" s="70">
        <v>2.0</v>
      </c>
      <c r="G233" s="70">
        <v>1.0</v>
      </c>
      <c r="H233" s="70">
        <v>2.0</v>
      </c>
      <c r="I233" s="70" t="s">
        <v>8</v>
      </c>
      <c r="J233" s="70" t="s">
        <v>622</v>
      </c>
    </row>
    <row r="234">
      <c r="A234" s="70" t="s">
        <v>539</v>
      </c>
      <c r="B234" s="70" t="s">
        <v>513</v>
      </c>
      <c r="C234" s="70" t="s">
        <v>8</v>
      </c>
      <c r="D234" s="70" t="s">
        <v>662</v>
      </c>
      <c r="E234" s="70" t="s">
        <v>621</v>
      </c>
      <c r="F234" s="70">
        <v>2.0</v>
      </c>
      <c r="G234" s="70">
        <v>1.0</v>
      </c>
      <c r="H234" s="70">
        <v>2.0</v>
      </c>
      <c r="I234" s="70" t="s">
        <v>8</v>
      </c>
      <c r="J234" s="70" t="s">
        <v>622</v>
      </c>
    </row>
    <row r="235">
      <c r="A235" s="70" t="s">
        <v>546</v>
      </c>
      <c r="B235" s="70" t="s">
        <v>547</v>
      </c>
      <c r="C235" s="70" t="s">
        <v>8</v>
      </c>
      <c r="D235" s="70" t="s">
        <v>662</v>
      </c>
      <c r="E235" s="70" t="s">
        <v>621</v>
      </c>
      <c r="F235" s="70">
        <v>2.0</v>
      </c>
      <c r="G235" s="70">
        <v>1.0</v>
      </c>
      <c r="H235" s="70">
        <v>2.0</v>
      </c>
      <c r="I235" s="70" t="s">
        <v>8</v>
      </c>
      <c r="J235" s="70" t="s">
        <v>622</v>
      </c>
    </row>
    <row r="236">
      <c r="A236" s="70" t="s">
        <v>552</v>
      </c>
      <c r="B236" s="70" t="s">
        <v>553</v>
      </c>
      <c r="C236" s="70" t="s">
        <v>8</v>
      </c>
      <c r="D236" s="70" t="s">
        <v>662</v>
      </c>
      <c r="E236" s="70" t="s">
        <v>621</v>
      </c>
      <c r="F236" s="70">
        <v>2.0</v>
      </c>
      <c r="G236" s="70">
        <v>1.0</v>
      </c>
      <c r="H236" s="70">
        <v>2.0</v>
      </c>
      <c r="I236" s="70" t="s">
        <v>8</v>
      </c>
      <c r="J236" s="70" t="s">
        <v>622</v>
      </c>
    </row>
    <row r="237">
      <c r="A237" s="70" t="s">
        <v>559</v>
      </c>
      <c r="B237" s="70" t="s">
        <v>560</v>
      </c>
      <c r="C237" s="70" t="s">
        <v>8</v>
      </c>
      <c r="D237" s="70" t="s">
        <v>662</v>
      </c>
      <c r="E237" s="70" t="s">
        <v>621</v>
      </c>
      <c r="F237" s="70">
        <v>2.0</v>
      </c>
      <c r="G237" s="70">
        <v>1.0</v>
      </c>
      <c r="H237" s="70">
        <v>2.0</v>
      </c>
      <c r="I237" s="70" t="s">
        <v>8</v>
      </c>
      <c r="J237" s="70" t="s">
        <v>622</v>
      </c>
    </row>
    <row r="238">
      <c r="A238" s="70" t="s">
        <v>565</v>
      </c>
      <c r="B238" s="70" t="s">
        <v>566</v>
      </c>
      <c r="C238" s="70" t="s">
        <v>8</v>
      </c>
      <c r="D238" s="70" t="s">
        <v>662</v>
      </c>
      <c r="E238" s="70" t="s">
        <v>621</v>
      </c>
      <c r="F238" s="70">
        <v>2.0</v>
      </c>
      <c r="G238" s="70">
        <v>1.0</v>
      </c>
      <c r="H238" s="70">
        <v>2.0</v>
      </c>
      <c r="I238" s="70" t="s">
        <v>8</v>
      </c>
      <c r="J238" s="70" t="s">
        <v>622</v>
      </c>
    </row>
    <row r="239">
      <c r="A239" s="70" t="s">
        <v>571</v>
      </c>
      <c r="B239" s="70" t="s">
        <v>572</v>
      </c>
      <c r="C239" s="70" t="s">
        <v>8</v>
      </c>
      <c r="D239" s="70" t="s">
        <v>662</v>
      </c>
      <c r="E239" s="70" t="s">
        <v>621</v>
      </c>
      <c r="F239" s="70">
        <v>2.0</v>
      </c>
      <c r="G239" s="70">
        <v>1.0</v>
      </c>
      <c r="H239" s="70">
        <v>2.0</v>
      </c>
      <c r="I239" s="70" t="s">
        <v>8</v>
      </c>
      <c r="J239" s="70" t="s">
        <v>622</v>
      </c>
    </row>
    <row r="240">
      <c r="A240" s="70" t="s">
        <v>577</v>
      </c>
      <c r="B240" s="70" t="s">
        <v>578</v>
      </c>
      <c r="C240" s="70" t="s">
        <v>8</v>
      </c>
      <c r="D240" s="70" t="s">
        <v>662</v>
      </c>
      <c r="E240" s="70" t="s">
        <v>621</v>
      </c>
      <c r="F240" s="70">
        <v>2.0</v>
      </c>
      <c r="G240" s="70">
        <v>1.0</v>
      </c>
      <c r="H240" s="70">
        <v>2.0</v>
      </c>
      <c r="I240" s="70" t="s">
        <v>8</v>
      </c>
      <c r="J240" s="70" t="s">
        <v>622</v>
      </c>
    </row>
    <row r="241">
      <c r="A241" s="70" t="s">
        <v>582</v>
      </c>
      <c r="B241" s="70" t="s">
        <v>583</v>
      </c>
      <c r="C241" s="70" t="s">
        <v>8</v>
      </c>
      <c r="D241" s="70" t="s">
        <v>662</v>
      </c>
      <c r="E241" s="70" t="s">
        <v>621</v>
      </c>
      <c r="F241" s="70">
        <v>2.0</v>
      </c>
      <c r="G241" s="70">
        <v>1.0</v>
      </c>
      <c r="H241" s="70">
        <v>2.0</v>
      </c>
      <c r="I241" s="70" t="s">
        <v>8</v>
      </c>
      <c r="J241" s="70" t="s">
        <v>622</v>
      </c>
    </row>
    <row r="242">
      <c r="A242" s="70" t="s">
        <v>586</v>
      </c>
      <c r="B242" s="70" t="s">
        <v>587</v>
      </c>
      <c r="C242" s="70" t="s">
        <v>8</v>
      </c>
      <c r="D242" s="70" t="s">
        <v>662</v>
      </c>
      <c r="E242" s="70" t="s">
        <v>621</v>
      </c>
      <c r="F242" s="70">
        <v>2.0</v>
      </c>
      <c r="G242" s="70">
        <v>1.0</v>
      </c>
      <c r="H242" s="70">
        <v>2.0</v>
      </c>
      <c r="I242" s="70" t="s">
        <v>8</v>
      </c>
      <c r="J242" s="70" t="s">
        <v>622</v>
      </c>
    </row>
    <row r="243">
      <c r="A243" s="70" t="s">
        <v>591</v>
      </c>
      <c r="B243" s="70" t="s">
        <v>592</v>
      </c>
      <c r="C243" s="70" t="s">
        <v>8</v>
      </c>
      <c r="D243" s="70" t="s">
        <v>662</v>
      </c>
      <c r="E243" s="70" t="s">
        <v>621</v>
      </c>
      <c r="F243" s="70">
        <v>2.0</v>
      </c>
      <c r="G243" s="70">
        <v>1.0</v>
      </c>
      <c r="H243" s="70">
        <v>2.0</v>
      </c>
      <c r="I243" s="70" t="s">
        <v>8</v>
      </c>
      <c r="J243" s="70" t="s">
        <v>622</v>
      </c>
    </row>
    <row r="244">
      <c r="A244" s="70" t="s">
        <v>595</v>
      </c>
      <c r="B244" s="70" t="s">
        <v>596</v>
      </c>
      <c r="C244" s="70" t="s">
        <v>8</v>
      </c>
      <c r="D244" s="70" t="s">
        <v>662</v>
      </c>
      <c r="E244" s="70" t="s">
        <v>621</v>
      </c>
      <c r="F244" s="70">
        <v>2.0</v>
      </c>
      <c r="G244" s="70">
        <v>1.0</v>
      </c>
      <c r="H244" s="70">
        <v>2.0</v>
      </c>
      <c r="I244" s="70" t="s">
        <v>8</v>
      </c>
      <c r="J244" s="70" t="s">
        <v>622</v>
      </c>
    </row>
    <row r="245">
      <c r="A245" s="70" t="s">
        <v>597</v>
      </c>
      <c r="B245" s="70" t="s">
        <v>598</v>
      </c>
      <c r="C245" s="70" t="s">
        <v>8</v>
      </c>
      <c r="D245" s="70" t="s">
        <v>662</v>
      </c>
      <c r="E245" s="70" t="s">
        <v>621</v>
      </c>
      <c r="F245" s="70">
        <v>2.0</v>
      </c>
      <c r="G245" s="70">
        <v>1.0</v>
      </c>
      <c r="H245" s="70">
        <v>2.0</v>
      </c>
      <c r="I245" s="70" t="s">
        <v>8</v>
      </c>
      <c r="J245" s="70" t="s">
        <v>622</v>
      </c>
    </row>
    <row r="246">
      <c r="A246" s="70" t="s">
        <v>600</v>
      </c>
      <c r="B246" s="70" t="s">
        <v>601</v>
      </c>
      <c r="C246" s="70" t="s">
        <v>8</v>
      </c>
      <c r="D246" s="70" t="s">
        <v>662</v>
      </c>
      <c r="E246" s="70" t="s">
        <v>621</v>
      </c>
      <c r="F246" s="70">
        <v>2.0</v>
      </c>
      <c r="G246" s="70">
        <v>1.0</v>
      </c>
      <c r="H246" s="70">
        <v>2.0</v>
      </c>
      <c r="I246" s="70" t="s">
        <v>8</v>
      </c>
      <c r="J246" s="70" t="s">
        <v>622</v>
      </c>
    </row>
    <row r="247">
      <c r="A247" s="70" t="s">
        <v>602</v>
      </c>
      <c r="B247" s="70" t="s">
        <v>603</v>
      </c>
      <c r="C247" s="70" t="s">
        <v>8</v>
      </c>
      <c r="D247" s="70" t="s">
        <v>662</v>
      </c>
      <c r="E247" s="70" t="s">
        <v>621</v>
      </c>
      <c r="F247" s="70">
        <v>2.0</v>
      </c>
      <c r="G247" s="70">
        <v>1.0</v>
      </c>
      <c r="H247" s="70">
        <v>2.0</v>
      </c>
      <c r="I247" s="70" t="s">
        <v>8</v>
      </c>
      <c r="J247" s="70" t="s">
        <v>622</v>
      </c>
    </row>
    <row r="248">
      <c r="A248" s="70" t="s">
        <v>604</v>
      </c>
      <c r="B248" s="70" t="s">
        <v>605</v>
      </c>
      <c r="C248" s="70" t="s">
        <v>8</v>
      </c>
      <c r="D248" s="70" t="s">
        <v>662</v>
      </c>
      <c r="E248" s="70" t="s">
        <v>647</v>
      </c>
      <c r="F248" s="70" t="s">
        <v>140</v>
      </c>
      <c r="G248" s="70">
        <v>5.0</v>
      </c>
      <c r="H248" s="70">
        <v>5.0</v>
      </c>
      <c r="I248" s="70" t="s">
        <v>8</v>
      </c>
      <c r="J248" s="70" t="s">
        <v>622</v>
      </c>
    </row>
    <row r="249">
      <c r="A249" s="70" t="s">
        <v>606</v>
      </c>
      <c r="B249" s="70" t="s">
        <v>607</v>
      </c>
      <c r="C249" s="70" t="s">
        <v>8</v>
      </c>
      <c r="D249" s="70" t="s">
        <v>662</v>
      </c>
      <c r="E249" s="70" t="s">
        <v>647</v>
      </c>
      <c r="F249" s="70" t="s">
        <v>117</v>
      </c>
      <c r="G249" s="70">
        <v>4.0</v>
      </c>
      <c r="H249" s="70">
        <v>4.0</v>
      </c>
      <c r="I249" s="70" t="s">
        <v>8</v>
      </c>
      <c r="J249" s="70" t="s">
        <v>622</v>
      </c>
    </row>
    <row r="250">
      <c r="A250" s="70" t="s">
        <v>172</v>
      </c>
      <c r="B250" s="70" t="s">
        <v>176</v>
      </c>
      <c r="C250" s="70" t="s">
        <v>9</v>
      </c>
      <c r="D250" s="70" t="s">
        <v>662</v>
      </c>
      <c r="E250" s="70" t="s">
        <v>621</v>
      </c>
      <c r="F250" s="70" t="s">
        <v>180</v>
      </c>
      <c r="G250" s="70">
        <v>1.0</v>
      </c>
      <c r="H250" s="70" t="s">
        <v>180</v>
      </c>
      <c r="I250" s="70" t="s">
        <v>9</v>
      </c>
      <c r="J250" s="70" t="s">
        <v>622</v>
      </c>
    </row>
    <row r="251">
      <c r="A251" s="70" t="s">
        <v>224</v>
      </c>
      <c r="B251" s="70" t="s">
        <v>229</v>
      </c>
      <c r="C251" s="70" t="s">
        <v>9</v>
      </c>
      <c r="D251" s="70" t="s">
        <v>662</v>
      </c>
      <c r="E251" s="70" t="s">
        <v>621</v>
      </c>
      <c r="F251" s="70" t="s">
        <v>180</v>
      </c>
      <c r="G251" s="70">
        <v>1.0</v>
      </c>
      <c r="H251" s="70" t="s">
        <v>180</v>
      </c>
      <c r="I251" s="70" t="s">
        <v>9</v>
      </c>
      <c r="J251" s="70" t="s">
        <v>622</v>
      </c>
    </row>
    <row r="252">
      <c r="A252" s="70" t="s">
        <v>270</v>
      </c>
      <c r="B252" s="70" t="s">
        <v>272</v>
      </c>
      <c r="C252" s="70" t="s">
        <v>9</v>
      </c>
      <c r="D252" s="70" t="s">
        <v>662</v>
      </c>
      <c r="E252" s="70" t="s">
        <v>621</v>
      </c>
      <c r="F252" s="70" t="s">
        <v>180</v>
      </c>
      <c r="G252" s="70">
        <v>1.0</v>
      </c>
      <c r="H252" s="70" t="s">
        <v>180</v>
      </c>
      <c r="I252" s="70" t="s">
        <v>9</v>
      </c>
      <c r="J252" s="70" t="s">
        <v>622</v>
      </c>
    </row>
    <row r="253">
      <c r="A253" s="70" t="s">
        <v>322</v>
      </c>
      <c r="B253" s="70" t="s">
        <v>325</v>
      </c>
      <c r="C253" s="70" t="s">
        <v>9</v>
      </c>
      <c r="D253" s="70" t="s">
        <v>662</v>
      </c>
      <c r="E253" s="70" t="s">
        <v>621</v>
      </c>
      <c r="F253" s="70" t="s">
        <v>180</v>
      </c>
      <c r="G253" s="70">
        <v>1.0</v>
      </c>
      <c r="H253" s="70" t="s">
        <v>180</v>
      </c>
      <c r="I253" s="70" t="s">
        <v>9</v>
      </c>
      <c r="J253" s="70" t="s">
        <v>622</v>
      </c>
    </row>
    <row r="254">
      <c r="A254" s="70" t="s">
        <v>348</v>
      </c>
      <c r="B254" s="70" t="s">
        <v>350</v>
      </c>
      <c r="C254" s="70" t="s">
        <v>9</v>
      </c>
      <c r="D254" s="70" t="s">
        <v>662</v>
      </c>
      <c r="E254" s="70" t="s">
        <v>621</v>
      </c>
      <c r="F254" s="70" t="s">
        <v>180</v>
      </c>
      <c r="G254" s="70">
        <v>1.0</v>
      </c>
      <c r="H254" s="70" t="s">
        <v>180</v>
      </c>
      <c r="I254" s="70" t="s">
        <v>9</v>
      </c>
      <c r="J254" s="70" t="s">
        <v>622</v>
      </c>
    </row>
    <row r="255">
      <c r="A255" s="70" t="s">
        <v>385</v>
      </c>
      <c r="B255" s="70" t="s">
        <v>386</v>
      </c>
      <c r="C255" s="70" t="s">
        <v>9</v>
      </c>
      <c r="D255" s="70" t="s">
        <v>662</v>
      </c>
      <c r="E255" s="70" t="s">
        <v>621</v>
      </c>
      <c r="F255" s="70" t="s">
        <v>180</v>
      </c>
      <c r="G255" s="70">
        <v>1.0</v>
      </c>
      <c r="H255" s="70" t="s">
        <v>180</v>
      </c>
      <c r="I255" s="70" t="s">
        <v>9</v>
      </c>
      <c r="J255" s="70" t="s">
        <v>622</v>
      </c>
    </row>
    <row r="256">
      <c r="A256" s="70" t="s">
        <v>420</v>
      </c>
      <c r="B256" s="70" t="s">
        <v>422</v>
      </c>
      <c r="C256" s="70" t="s">
        <v>9</v>
      </c>
      <c r="D256" s="70" t="s">
        <v>662</v>
      </c>
      <c r="E256" s="70" t="s">
        <v>621</v>
      </c>
      <c r="F256" s="70" t="s">
        <v>180</v>
      </c>
      <c r="G256" s="70">
        <v>1.0</v>
      </c>
      <c r="H256" s="70" t="s">
        <v>180</v>
      </c>
      <c r="I256" s="70" t="s">
        <v>9</v>
      </c>
      <c r="J256" s="70" t="s">
        <v>622</v>
      </c>
    </row>
    <row r="257">
      <c r="A257" s="70" t="s">
        <v>441</v>
      </c>
      <c r="B257" s="70" t="s">
        <v>442</v>
      </c>
      <c r="C257" s="70" t="s">
        <v>9</v>
      </c>
      <c r="D257" s="70" t="s">
        <v>662</v>
      </c>
      <c r="E257" s="70" t="s">
        <v>621</v>
      </c>
      <c r="F257" s="70" t="s">
        <v>180</v>
      </c>
      <c r="G257" s="70">
        <v>1.0</v>
      </c>
      <c r="H257" s="70" t="s">
        <v>180</v>
      </c>
      <c r="I257" s="70" t="s">
        <v>9</v>
      </c>
      <c r="J257" s="70" t="s">
        <v>622</v>
      </c>
    </row>
    <row r="258">
      <c r="A258" s="70" t="s">
        <v>458</v>
      </c>
      <c r="B258" s="70" t="s">
        <v>459</v>
      </c>
      <c r="C258" s="70" t="s">
        <v>9</v>
      </c>
      <c r="D258" s="70" t="s">
        <v>662</v>
      </c>
      <c r="E258" s="70" t="s">
        <v>621</v>
      </c>
      <c r="F258" s="70" t="s">
        <v>180</v>
      </c>
      <c r="G258" s="70">
        <v>1.0</v>
      </c>
      <c r="H258" s="70" t="s">
        <v>180</v>
      </c>
      <c r="I258" s="70" t="s">
        <v>9</v>
      </c>
      <c r="J258" s="70" t="s">
        <v>622</v>
      </c>
    </row>
    <row r="259">
      <c r="A259" s="70" t="s">
        <v>469</v>
      </c>
      <c r="B259" s="70" t="s">
        <v>470</v>
      </c>
      <c r="C259" s="70" t="s">
        <v>9</v>
      </c>
      <c r="D259" s="70" t="s">
        <v>662</v>
      </c>
      <c r="E259" s="70" t="s">
        <v>621</v>
      </c>
      <c r="F259" s="70" t="s">
        <v>180</v>
      </c>
      <c r="G259" s="70">
        <v>1.0</v>
      </c>
      <c r="H259" s="70" t="s">
        <v>180</v>
      </c>
      <c r="I259" s="70" t="s">
        <v>9</v>
      </c>
      <c r="J259" s="70" t="s">
        <v>622</v>
      </c>
    </row>
    <row r="260">
      <c r="A260" s="70" t="s">
        <v>15</v>
      </c>
      <c r="B260" s="70" t="s">
        <v>16</v>
      </c>
      <c r="C260" s="70" t="s">
        <v>2</v>
      </c>
      <c r="D260" s="70" t="s">
        <v>695</v>
      </c>
      <c r="E260" s="70" t="s">
        <v>621</v>
      </c>
      <c r="F260" s="70">
        <v>2.0</v>
      </c>
      <c r="G260" s="70">
        <v>1.0</v>
      </c>
      <c r="H260" s="70">
        <v>2.0</v>
      </c>
      <c r="I260" s="70" t="s">
        <v>2</v>
      </c>
      <c r="J260" s="70" t="s">
        <v>622</v>
      </c>
    </row>
    <row r="261">
      <c r="A261" s="70" t="s">
        <v>44</v>
      </c>
      <c r="B261" s="70" t="s">
        <v>45</v>
      </c>
      <c r="C261" s="70" t="s">
        <v>2</v>
      </c>
      <c r="D261" s="70" t="s">
        <v>695</v>
      </c>
      <c r="E261" s="70" t="s">
        <v>621</v>
      </c>
      <c r="F261" s="70">
        <v>2.0</v>
      </c>
      <c r="G261" s="70">
        <v>1.0</v>
      </c>
      <c r="H261" s="70">
        <v>2.0</v>
      </c>
      <c r="I261" s="70" t="s">
        <v>2</v>
      </c>
      <c r="J261" s="70" t="s">
        <v>622</v>
      </c>
    </row>
    <row r="262">
      <c r="A262" s="70" t="s">
        <v>66</v>
      </c>
      <c r="B262" s="70" t="s">
        <v>67</v>
      </c>
      <c r="C262" s="70" t="s">
        <v>2</v>
      </c>
      <c r="D262" s="70" t="s">
        <v>695</v>
      </c>
      <c r="E262" s="70" t="s">
        <v>621</v>
      </c>
      <c r="F262" s="70">
        <v>2.0</v>
      </c>
      <c r="G262" s="70">
        <v>1.0</v>
      </c>
      <c r="H262" s="70">
        <v>2.0</v>
      </c>
      <c r="I262" s="70" t="s">
        <v>2</v>
      </c>
      <c r="J262" s="70" t="s">
        <v>622</v>
      </c>
    </row>
    <row r="263">
      <c r="A263" s="70" t="s">
        <v>80</v>
      </c>
      <c r="B263" s="70" t="s">
        <v>82</v>
      </c>
      <c r="C263" s="70" t="s">
        <v>2</v>
      </c>
      <c r="D263" s="70" t="s">
        <v>695</v>
      </c>
      <c r="E263" s="70" t="s">
        <v>621</v>
      </c>
      <c r="F263" s="70">
        <v>2.0</v>
      </c>
      <c r="G263" s="70">
        <v>1.0</v>
      </c>
      <c r="H263" s="70">
        <v>2.0</v>
      </c>
      <c r="I263" s="70" t="s">
        <v>2</v>
      </c>
      <c r="J263" s="70" t="s">
        <v>622</v>
      </c>
    </row>
    <row r="264">
      <c r="A264" s="70" t="s">
        <v>102</v>
      </c>
      <c r="B264" s="70" t="s">
        <v>104</v>
      </c>
      <c r="C264" s="70" t="s">
        <v>2</v>
      </c>
      <c r="D264" s="70" t="s">
        <v>695</v>
      </c>
      <c r="E264" s="70" t="s">
        <v>621</v>
      </c>
      <c r="F264" s="70">
        <v>2.0</v>
      </c>
      <c r="G264" s="70">
        <v>1.0</v>
      </c>
      <c r="H264" s="70">
        <v>2.0</v>
      </c>
      <c r="I264" s="70" t="s">
        <v>2</v>
      </c>
      <c r="J264" s="70" t="s">
        <v>622</v>
      </c>
    </row>
    <row r="265">
      <c r="A265" s="70" t="s">
        <v>123</v>
      </c>
      <c r="B265" s="70" t="s">
        <v>92</v>
      </c>
      <c r="C265" s="70" t="s">
        <v>2</v>
      </c>
      <c r="D265" s="70" t="s">
        <v>695</v>
      </c>
      <c r="E265" s="70" t="s">
        <v>621</v>
      </c>
      <c r="F265" s="70">
        <v>2.0</v>
      </c>
      <c r="G265" s="70">
        <v>1.0</v>
      </c>
      <c r="H265" s="70">
        <v>2.0</v>
      </c>
      <c r="I265" s="70" t="s">
        <v>2</v>
      </c>
      <c r="J265" s="70" t="s">
        <v>622</v>
      </c>
    </row>
    <row r="266">
      <c r="A266" s="70" t="s">
        <v>146</v>
      </c>
      <c r="B266" s="70" t="s">
        <v>148</v>
      </c>
      <c r="C266" s="70" t="s">
        <v>2</v>
      </c>
      <c r="D266" s="70" t="s">
        <v>695</v>
      </c>
      <c r="E266" s="70" t="s">
        <v>621</v>
      </c>
      <c r="F266" s="70">
        <v>2.0</v>
      </c>
      <c r="G266" s="70">
        <v>1.0</v>
      </c>
      <c r="H266" s="70">
        <v>2.0</v>
      </c>
      <c r="I266" s="70" t="s">
        <v>2</v>
      </c>
      <c r="J266" s="70" t="s">
        <v>622</v>
      </c>
    </row>
    <row r="267">
      <c r="A267" s="70" t="s">
        <v>168</v>
      </c>
      <c r="B267" s="70" t="s">
        <v>169</v>
      </c>
      <c r="C267" s="70" t="s">
        <v>2</v>
      </c>
      <c r="D267" s="70" t="s">
        <v>695</v>
      </c>
      <c r="E267" s="70" t="s">
        <v>621</v>
      </c>
      <c r="F267" s="70">
        <v>2.0</v>
      </c>
      <c r="G267" s="70">
        <v>1.0</v>
      </c>
      <c r="H267" s="70">
        <v>2.0</v>
      </c>
      <c r="I267" s="70" t="s">
        <v>2</v>
      </c>
      <c r="J267" s="70" t="s">
        <v>622</v>
      </c>
    </row>
    <row r="268">
      <c r="A268" s="70" t="s">
        <v>191</v>
      </c>
      <c r="B268" s="70" t="s">
        <v>173</v>
      </c>
      <c r="C268" s="70" t="s">
        <v>2</v>
      </c>
      <c r="D268" s="70" t="s">
        <v>695</v>
      </c>
      <c r="E268" s="70" t="s">
        <v>621</v>
      </c>
      <c r="F268" s="70">
        <v>2.0</v>
      </c>
      <c r="G268" s="70">
        <v>1.0</v>
      </c>
      <c r="H268" s="70">
        <v>2.0</v>
      </c>
      <c r="I268" s="70" t="s">
        <v>2</v>
      </c>
      <c r="J268" s="70" t="s">
        <v>622</v>
      </c>
    </row>
    <row r="269">
      <c r="A269" s="70" t="s">
        <v>212</v>
      </c>
      <c r="B269" s="70" t="s">
        <v>213</v>
      </c>
      <c r="C269" s="70" t="s">
        <v>2</v>
      </c>
      <c r="D269" s="70" t="s">
        <v>695</v>
      </c>
      <c r="E269" s="70" t="s">
        <v>621</v>
      </c>
      <c r="F269" s="70">
        <v>2.0</v>
      </c>
      <c r="G269" s="70">
        <v>1.0</v>
      </c>
      <c r="H269" s="70">
        <v>2.0</v>
      </c>
      <c r="I269" s="70" t="s">
        <v>2</v>
      </c>
      <c r="J269" s="70" t="s">
        <v>622</v>
      </c>
    </row>
    <row r="270">
      <c r="A270" s="70" t="s">
        <v>231</v>
      </c>
      <c r="B270" s="70" t="s">
        <v>232</v>
      </c>
      <c r="C270" s="70" t="s">
        <v>2</v>
      </c>
      <c r="D270" s="70" t="s">
        <v>695</v>
      </c>
      <c r="E270" s="70" t="s">
        <v>621</v>
      </c>
      <c r="F270" s="70">
        <v>2.0</v>
      </c>
      <c r="G270" s="70">
        <v>1.0</v>
      </c>
      <c r="H270" s="70">
        <v>2.0</v>
      </c>
      <c r="I270" s="70" t="s">
        <v>2</v>
      </c>
      <c r="J270" s="70" t="s">
        <v>622</v>
      </c>
    </row>
    <row r="271">
      <c r="A271" s="70" t="s">
        <v>250</v>
      </c>
      <c r="B271" s="70" t="s">
        <v>697</v>
      </c>
      <c r="C271" s="70" t="s">
        <v>2</v>
      </c>
      <c r="D271" s="70" t="s">
        <v>695</v>
      </c>
      <c r="E271" s="70" t="s">
        <v>621</v>
      </c>
      <c r="F271" s="70">
        <v>2.0</v>
      </c>
      <c r="G271" s="70">
        <v>1.0</v>
      </c>
      <c r="H271" s="70">
        <v>2.0</v>
      </c>
      <c r="I271" s="70" t="s">
        <v>2</v>
      </c>
      <c r="J271" s="70" t="s">
        <v>622</v>
      </c>
    </row>
    <row r="272">
      <c r="A272" s="70" t="s">
        <v>273</v>
      </c>
      <c r="B272" s="70" t="s">
        <v>698</v>
      </c>
      <c r="C272" s="70" t="s">
        <v>2</v>
      </c>
      <c r="D272" s="70" t="s">
        <v>695</v>
      </c>
      <c r="E272" s="70" t="s">
        <v>621</v>
      </c>
      <c r="F272" s="70">
        <v>2.0</v>
      </c>
      <c r="G272" s="70">
        <v>1.0</v>
      </c>
      <c r="H272" s="70">
        <v>2.0</v>
      </c>
      <c r="I272" s="70" t="s">
        <v>2</v>
      </c>
      <c r="J272" s="70" t="s">
        <v>622</v>
      </c>
    </row>
    <row r="273">
      <c r="A273" s="70" t="s">
        <v>303</v>
      </c>
      <c r="B273" s="70" t="s">
        <v>700</v>
      </c>
      <c r="C273" s="70" t="s">
        <v>2</v>
      </c>
      <c r="D273" s="70" t="s">
        <v>695</v>
      </c>
      <c r="E273" s="70" t="s">
        <v>621</v>
      </c>
      <c r="F273" s="70">
        <v>2.0</v>
      </c>
      <c r="G273" s="70">
        <v>1.0</v>
      </c>
      <c r="H273" s="70">
        <v>2.0</v>
      </c>
      <c r="I273" s="70" t="s">
        <v>2</v>
      </c>
      <c r="J273" s="70" t="s">
        <v>622</v>
      </c>
    </row>
    <row r="274">
      <c r="A274" s="70" t="s">
        <v>23</v>
      </c>
      <c r="B274" s="70" t="s">
        <v>16</v>
      </c>
      <c r="C274" s="70" t="s">
        <v>4</v>
      </c>
      <c r="D274" s="70" t="s">
        <v>695</v>
      </c>
      <c r="E274" s="70" t="s">
        <v>621</v>
      </c>
      <c r="F274" s="70">
        <v>2.0</v>
      </c>
      <c r="G274" s="70">
        <v>1.0</v>
      </c>
      <c r="H274" s="70">
        <v>2.0</v>
      </c>
      <c r="I274" s="70" t="s">
        <v>4</v>
      </c>
      <c r="J274" s="70" t="s">
        <v>622</v>
      </c>
    </row>
    <row r="275">
      <c r="A275" s="70" t="s">
        <v>48</v>
      </c>
      <c r="B275" s="70" t="s">
        <v>45</v>
      </c>
      <c r="C275" s="70" t="s">
        <v>4</v>
      </c>
      <c r="D275" s="70" t="s">
        <v>695</v>
      </c>
      <c r="E275" s="70" t="s">
        <v>621</v>
      </c>
      <c r="F275" s="70">
        <v>2.0</v>
      </c>
      <c r="G275" s="70">
        <v>1.0</v>
      </c>
      <c r="H275" s="70">
        <v>2.0</v>
      </c>
      <c r="I275" s="70" t="s">
        <v>4</v>
      </c>
      <c r="J275" s="70" t="s">
        <v>622</v>
      </c>
    </row>
    <row r="276">
      <c r="A276" s="70" t="s">
        <v>70</v>
      </c>
      <c r="B276" s="70" t="s">
        <v>67</v>
      </c>
      <c r="C276" s="70" t="s">
        <v>4</v>
      </c>
      <c r="D276" s="70" t="s">
        <v>695</v>
      </c>
      <c r="E276" s="70" t="s">
        <v>621</v>
      </c>
      <c r="F276" s="70">
        <v>2.0</v>
      </c>
      <c r="G276" s="70">
        <v>1.0</v>
      </c>
      <c r="H276" s="70">
        <v>2.0</v>
      </c>
      <c r="I276" s="70" t="s">
        <v>4</v>
      </c>
      <c r="J276" s="70" t="s">
        <v>622</v>
      </c>
    </row>
    <row r="277">
      <c r="A277" s="70" t="s">
        <v>83</v>
      </c>
      <c r="B277" s="70" t="s">
        <v>85</v>
      </c>
      <c r="C277" s="70" t="s">
        <v>4</v>
      </c>
      <c r="D277" s="70" t="s">
        <v>695</v>
      </c>
      <c r="E277" s="70" t="s">
        <v>621</v>
      </c>
      <c r="F277" s="70">
        <v>2.0</v>
      </c>
      <c r="G277" s="70">
        <v>1.0</v>
      </c>
      <c r="H277" s="70">
        <v>2.0</v>
      </c>
      <c r="I277" s="70" t="s">
        <v>4</v>
      </c>
      <c r="J277" s="70" t="s">
        <v>622</v>
      </c>
    </row>
    <row r="278">
      <c r="A278" s="70" t="s">
        <v>105</v>
      </c>
      <c r="B278" s="70" t="s">
        <v>82</v>
      </c>
      <c r="C278" s="70" t="s">
        <v>4</v>
      </c>
      <c r="D278" s="70" t="s">
        <v>695</v>
      </c>
      <c r="E278" s="70" t="s">
        <v>621</v>
      </c>
      <c r="F278" s="70">
        <v>2.0</v>
      </c>
      <c r="G278" s="70">
        <v>1.0</v>
      </c>
      <c r="H278" s="70">
        <v>2.0</v>
      </c>
      <c r="I278" s="70" t="s">
        <v>4</v>
      </c>
      <c r="J278" s="70" t="s">
        <v>622</v>
      </c>
    </row>
    <row r="279">
      <c r="A279" s="70" t="s">
        <v>126</v>
      </c>
      <c r="B279" s="70" t="s">
        <v>92</v>
      </c>
      <c r="C279" s="70" t="s">
        <v>4</v>
      </c>
      <c r="D279" s="70" t="s">
        <v>695</v>
      </c>
      <c r="E279" s="70" t="s">
        <v>621</v>
      </c>
      <c r="F279" s="70">
        <v>2.0</v>
      </c>
      <c r="G279" s="70">
        <v>1.0</v>
      </c>
      <c r="H279" s="70">
        <v>2.0</v>
      </c>
      <c r="I279" s="70" t="s">
        <v>4</v>
      </c>
      <c r="J279" s="70" t="s">
        <v>622</v>
      </c>
    </row>
    <row r="280">
      <c r="A280" s="70" t="s">
        <v>150</v>
      </c>
      <c r="B280" s="70" t="s">
        <v>131</v>
      </c>
      <c r="C280" s="70" t="s">
        <v>4</v>
      </c>
      <c r="D280" s="70" t="s">
        <v>695</v>
      </c>
      <c r="E280" s="70" t="s">
        <v>621</v>
      </c>
      <c r="F280" s="70">
        <v>2.0</v>
      </c>
      <c r="G280" s="70">
        <v>1.0</v>
      </c>
      <c r="H280" s="70">
        <v>2.0</v>
      </c>
      <c r="I280" s="70" t="s">
        <v>4</v>
      </c>
      <c r="J280" s="70" t="s">
        <v>622</v>
      </c>
    </row>
    <row r="281">
      <c r="A281" s="70" t="s">
        <v>171</v>
      </c>
      <c r="B281" s="70" t="s">
        <v>173</v>
      </c>
      <c r="C281" s="70" t="s">
        <v>4</v>
      </c>
      <c r="D281" s="70" t="s">
        <v>695</v>
      </c>
      <c r="E281" s="70" t="s">
        <v>621</v>
      </c>
      <c r="F281" s="70">
        <v>2.0</v>
      </c>
      <c r="G281" s="70">
        <v>1.0</v>
      </c>
      <c r="H281" s="70">
        <v>2.0</v>
      </c>
      <c r="I281" s="70" t="s">
        <v>4</v>
      </c>
      <c r="J281" s="70" t="s">
        <v>622</v>
      </c>
    </row>
    <row r="282">
      <c r="A282" s="70" t="s">
        <v>194</v>
      </c>
      <c r="B282" s="70" t="s">
        <v>159</v>
      </c>
      <c r="C282" s="70" t="s">
        <v>4</v>
      </c>
      <c r="D282" s="70" t="s">
        <v>695</v>
      </c>
      <c r="E282" s="70" t="s">
        <v>621</v>
      </c>
      <c r="F282" s="70">
        <v>2.0</v>
      </c>
      <c r="G282" s="70">
        <v>1.0</v>
      </c>
      <c r="H282" s="70">
        <v>2.0</v>
      </c>
      <c r="I282" s="70" t="s">
        <v>4</v>
      </c>
      <c r="J282" s="70" t="s">
        <v>622</v>
      </c>
    </row>
    <row r="283">
      <c r="A283" s="70" t="s">
        <v>216</v>
      </c>
      <c r="B283" s="70" t="s">
        <v>213</v>
      </c>
      <c r="C283" s="70" t="s">
        <v>4</v>
      </c>
      <c r="D283" s="70" t="s">
        <v>695</v>
      </c>
      <c r="E283" s="70" t="s">
        <v>621</v>
      </c>
      <c r="F283" s="70">
        <v>2.0</v>
      </c>
      <c r="G283" s="70">
        <v>1.0</v>
      </c>
      <c r="H283" s="70">
        <v>2.0</v>
      </c>
      <c r="I283" s="70" t="s">
        <v>4</v>
      </c>
      <c r="J283" s="70" t="s">
        <v>622</v>
      </c>
    </row>
    <row r="284">
      <c r="A284" s="70" t="s">
        <v>234</v>
      </c>
      <c r="B284" s="70" t="s">
        <v>232</v>
      </c>
      <c r="C284" s="70" t="s">
        <v>4</v>
      </c>
      <c r="D284" s="70" t="s">
        <v>695</v>
      </c>
      <c r="E284" s="70" t="s">
        <v>621</v>
      </c>
      <c r="F284" s="70">
        <v>2.0</v>
      </c>
      <c r="G284" s="70">
        <v>1.0</v>
      </c>
      <c r="H284" s="70">
        <v>2.0</v>
      </c>
      <c r="I284" s="70" t="s">
        <v>4</v>
      </c>
      <c r="J284" s="70" t="s">
        <v>622</v>
      </c>
    </row>
    <row r="285">
      <c r="A285" s="70" t="s">
        <v>253</v>
      </c>
      <c r="B285" s="70" t="s">
        <v>255</v>
      </c>
      <c r="C285" s="70" t="s">
        <v>4</v>
      </c>
      <c r="D285" s="70" t="s">
        <v>695</v>
      </c>
      <c r="E285" s="70" t="s">
        <v>621</v>
      </c>
      <c r="F285" s="70">
        <v>2.0</v>
      </c>
      <c r="G285" s="70">
        <v>1.0</v>
      </c>
      <c r="H285" s="70">
        <v>2.0</v>
      </c>
      <c r="I285" s="70" t="s">
        <v>4</v>
      </c>
      <c r="J285" s="70" t="s">
        <v>622</v>
      </c>
    </row>
    <row r="286">
      <c r="A286" s="70" t="s">
        <v>282</v>
      </c>
      <c r="B286" s="70" t="s">
        <v>284</v>
      </c>
      <c r="C286" s="70" t="s">
        <v>4</v>
      </c>
      <c r="D286" s="70" t="s">
        <v>695</v>
      </c>
      <c r="E286" s="70" t="s">
        <v>647</v>
      </c>
      <c r="F286" s="70" t="s">
        <v>117</v>
      </c>
      <c r="G286" s="70">
        <v>4.0</v>
      </c>
      <c r="H286" s="70">
        <v>4.0</v>
      </c>
      <c r="I286" s="70" t="s">
        <v>4</v>
      </c>
      <c r="J286" s="70" t="s">
        <v>622</v>
      </c>
    </row>
    <row r="287">
      <c r="A287" s="70" t="s">
        <v>26</v>
      </c>
      <c r="B287" s="70" t="s">
        <v>28</v>
      </c>
      <c r="C287" s="70" t="s">
        <v>5</v>
      </c>
      <c r="D287" s="70" t="s">
        <v>695</v>
      </c>
      <c r="E287" s="70" t="s">
        <v>621</v>
      </c>
      <c r="F287" s="70">
        <v>2.0</v>
      </c>
      <c r="G287" s="70">
        <v>1.0</v>
      </c>
      <c r="H287" s="70">
        <v>2.0</v>
      </c>
      <c r="I287" s="70" t="s">
        <v>5</v>
      </c>
      <c r="J287" s="70" t="s">
        <v>622</v>
      </c>
    </row>
    <row r="288">
      <c r="A288" s="70" t="s">
        <v>51</v>
      </c>
      <c r="B288" s="70" t="s">
        <v>45</v>
      </c>
      <c r="C288" s="70" t="s">
        <v>5</v>
      </c>
      <c r="D288" s="70" t="s">
        <v>695</v>
      </c>
      <c r="E288" s="70" t="s">
        <v>621</v>
      </c>
      <c r="F288" s="70">
        <v>2.0</v>
      </c>
      <c r="G288" s="70">
        <v>1.0</v>
      </c>
      <c r="H288" s="70">
        <v>2.0</v>
      </c>
      <c r="I288" s="70" t="s">
        <v>5</v>
      </c>
      <c r="J288" s="70" t="s">
        <v>622</v>
      </c>
    </row>
    <row r="289">
      <c r="A289" s="70" t="s">
        <v>72</v>
      </c>
      <c r="B289" s="70" t="s">
        <v>67</v>
      </c>
      <c r="C289" s="70" t="s">
        <v>5</v>
      </c>
      <c r="D289" s="70" t="s">
        <v>695</v>
      </c>
      <c r="E289" s="70" t="s">
        <v>621</v>
      </c>
      <c r="F289" s="70">
        <v>2.0</v>
      </c>
      <c r="G289" s="70">
        <v>1.0</v>
      </c>
      <c r="H289" s="70">
        <v>2.0</v>
      </c>
      <c r="I289" s="70" t="s">
        <v>5</v>
      </c>
      <c r="J289" s="70" t="s">
        <v>622</v>
      </c>
    </row>
    <row r="290">
      <c r="A290" s="70" t="s">
        <v>87</v>
      </c>
      <c r="B290" s="70" t="s">
        <v>85</v>
      </c>
      <c r="C290" s="70" t="s">
        <v>5</v>
      </c>
      <c r="D290" s="70" t="s">
        <v>695</v>
      </c>
      <c r="E290" s="70" t="s">
        <v>621</v>
      </c>
      <c r="F290" s="70">
        <v>2.0</v>
      </c>
      <c r="G290" s="70">
        <v>1.0</v>
      </c>
      <c r="H290" s="70">
        <v>2.0</v>
      </c>
      <c r="I290" s="70" t="s">
        <v>5</v>
      </c>
      <c r="J290" s="70" t="s">
        <v>622</v>
      </c>
    </row>
    <row r="291">
      <c r="A291" s="70" t="s">
        <v>109</v>
      </c>
      <c r="B291" s="70" t="s">
        <v>92</v>
      </c>
      <c r="C291" s="70" t="s">
        <v>5</v>
      </c>
      <c r="D291" s="70" t="s">
        <v>695</v>
      </c>
      <c r="E291" s="70" t="s">
        <v>621</v>
      </c>
      <c r="F291" s="70">
        <v>2.0</v>
      </c>
      <c r="G291" s="70">
        <v>1.0</v>
      </c>
      <c r="H291" s="70">
        <v>2.0</v>
      </c>
      <c r="I291" s="70" t="s">
        <v>5</v>
      </c>
      <c r="J291" s="70" t="s">
        <v>622</v>
      </c>
    </row>
    <row r="292">
      <c r="A292" s="70" t="s">
        <v>129</v>
      </c>
      <c r="B292" s="70" t="s">
        <v>131</v>
      </c>
      <c r="C292" s="70" t="s">
        <v>5</v>
      </c>
      <c r="D292" s="70" t="s">
        <v>695</v>
      </c>
      <c r="E292" s="70" t="s">
        <v>621</v>
      </c>
      <c r="F292" s="70">
        <v>2.0</v>
      </c>
      <c r="G292" s="70">
        <v>1.0</v>
      </c>
      <c r="H292" s="70">
        <v>2.0</v>
      </c>
      <c r="I292" s="70" t="s">
        <v>5</v>
      </c>
      <c r="J292" s="70" t="s">
        <v>622</v>
      </c>
    </row>
    <row r="293">
      <c r="A293" s="70" t="s">
        <v>153</v>
      </c>
      <c r="B293" s="70" t="s">
        <v>137</v>
      </c>
      <c r="C293" s="70" t="s">
        <v>5</v>
      </c>
      <c r="D293" s="70" t="s">
        <v>695</v>
      </c>
      <c r="E293" s="70" t="s">
        <v>621</v>
      </c>
      <c r="F293" s="70">
        <v>2.0</v>
      </c>
      <c r="G293" s="70">
        <v>1.0</v>
      </c>
      <c r="H293" s="70">
        <v>2.0</v>
      </c>
      <c r="I293" s="70" t="s">
        <v>5</v>
      </c>
      <c r="J293" s="70" t="s">
        <v>622</v>
      </c>
    </row>
    <row r="294">
      <c r="A294" s="70" t="s">
        <v>175</v>
      </c>
      <c r="B294" s="70" t="s">
        <v>159</v>
      </c>
      <c r="C294" s="70" t="s">
        <v>5</v>
      </c>
      <c r="D294" s="70" t="s">
        <v>695</v>
      </c>
      <c r="E294" s="70" t="s">
        <v>621</v>
      </c>
      <c r="F294" s="70">
        <v>2.0</v>
      </c>
      <c r="G294" s="70">
        <v>1.0</v>
      </c>
      <c r="H294" s="70">
        <v>2.0</v>
      </c>
      <c r="I294" s="70" t="s">
        <v>5</v>
      </c>
      <c r="J294" s="70" t="s">
        <v>622</v>
      </c>
    </row>
    <row r="295">
      <c r="A295" s="70" t="s">
        <v>198</v>
      </c>
      <c r="B295" s="70" t="s">
        <v>186</v>
      </c>
      <c r="C295" s="70" t="s">
        <v>5</v>
      </c>
      <c r="D295" s="70" t="s">
        <v>695</v>
      </c>
      <c r="E295" s="70" t="s">
        <v>621</v>
      </c>
      <c r="F295" s="70">
        <v>2.0</v>
      </c>
      <c r="G295" s="70">
        <v>1.0</v>
      </c>
      <c r="H295" s="70">
        <v>2.0</v>
      </c>
      <c r="I295" s="70" t="s">
        <v>5</v>
      </c>
      <c r="J295" s="70" t="s">
        <v>622</v>
      </c>
    </row>
    <row r="296">
      <c r="A296" s="70" t="s">
        <v>219</v>
      </c>
      <c r="B296" s="70" t="s">
        <v>208</v>
      </c>
      <c r="C296" s="70" t="s">
        <v>5</v>
      </c>
      <c r="D296" s="70" t="s">
        <v>695</v>
      </c>
      <c r="E296" s="70" t="s">
        <v>621</v>
      </c>
      <c r="F296" s="70">
        <v>2.0</v>
      </c>
      <c r="G296" s="70">
        <v>1.0</v>
      </c>
      <c r="H296" s="70">
        <v>2.0</v>
      </c>
      <c r="I296" s="70" t="s">
        <v>5</v>
      </c>
      <c r="J296" s="70" t="s">
        <v>622</v>
      </c>
    </row>
    <row r="297">
      <c r="A297" s="70" t="s">
        <v>235</v>
      </c>
      <c r="B297" s="70" t="s">
        <v>236</v>
      </c>
      <c r="C297" s="70" t="s">
        <v>5</v>
      </c>
      <c r="D297" s="70" t="s">
        <v>695</v>
      </c>
      <c r="E297" s="70" t="s">
        <v>621</v>
      </c>
      <c r="F297" s="70">
        <v>2.0</v>
      </c>
      <c r="G297" s="70">
        <v>1.0</v>
      </c>
      <c r="H297" s="70">
        <v>2.0</v>
      </c>
      <c r="I297" s="70" t="s">
        <v>5</v>
      </c>
      <c r="J297" s="70" t="s">
        <v>622</v>
      </c>
    </row>
    <row r="298">
      <c r="A298" s="70" t="s">
        <v>258</v>
      </c>
      <c r="B298" s="70" t="s">
        <v>255</v>
      </c>
      <c r="C298" s="70" t="s">
        <v>5</v>
      </c>
      <c r="D298" s="70" t="s">
        <v>695</v>
      </c>
      <c r="E298" s="70" t="s">
        <v>621</v>
      </c>
      <c r="F298" s="70">
        <v>2.0</v>
      </c>
      <c r="G298" s="70">
        <v>1.0</v>
      </c>
      <c r="H298" s="70">
        <v>2.0</v>
      </c>
      <c r="I298" s="70" t="s">
        <v>5</v>
      </c>
      <c r="J298" s="70" t="s">
        <v>622</v>
      </c>
    </row>
    <row r="299">
      <c r="A299" s="70" t="s">
        <v>289</v>
      </c>
      <c r="B299" s="70" t="s">
        <v>291</v>
      </c>
      <c r="C299" s="70" t="s">
        <v>5</v>
      </c>
      <c r="D299" s="70" t="s">
        <v>695</v>
      </c>
      <c r="E299" s="70" t="s">
        <v>621</v>
      </c>
      <c r="F299" s="70">
        <v>2.0</v>
      </c>
      <c r="G299" s="70">
        <v>1.0</v>
      </c>
      <c r="H299" s="70">
        <v>2.0</v>
      </c>
      <c r="I299" s="70" t="s">
        <v>5</v>
      </c>
      <c r="J299" s="70" t="s">
        <v>622</v>
      </c>
    </row>
    <row r="300">
      <c r="A300" s="70" t="s">
        <v>310</v>
      </c>
      <c r="B300" s="70" t="s">
        <v>284</v>
      </c>
      <c r="C300" s="70" t="s">
        <v>5</v>
      </c>
      <c r="D300" s="70" t="s">
        <v>695</v>
      </c>
      <c r="E300" s="70" t="s">
        <v>647</v>
      </c>
      <c r="F300" s="70" t="s">
        <v>117</v>
      </c>
      <c r="G300" s="70">
        <v>4.0</v>
      </c>
      <c r="H300" s="70">
        <v>4.0</v>
      </c>
      <c r="I300" s="70" t="s">
        <v>5</v>
      </c>
      <c r="J300" s="70" t="s">
        <v>622</v>
      </c>
    </row>
    <row r="301">
      <c r="A301" s="70" t="s">
        <v>31</v>
      </c>
      <c r="B301" s="70" t="s">
        <v>28</v>
      </c>
      <c r="C301" s="70" t="s">
        <v>7</v>
      </c>
      <c r="D301" s="70" t="s">
        <v>695</v>
      </c>
      <c r="E301" s="70" t="s">
        <v>621</v>
      </c>
      <c r="F301" s="70">
        <v>2.0</v>
      </c>
      <c r="G301" s="70">
        <v>1.0</v>
      </c>
      <c r="H301" s="70">
        <v>2.0</v>
      </c>
      <c r="I301" s="70" t="s">
        <v>7</v>
      </c>
      <c r="J301" s="70" t="s">
        <v>622</v>
      </c>
    </row>
    <row r="302">
      <c r="A302" s="70" t="s">
        <v>54</v>
      </c>
      <c r="B302" s="70" t="s">
        <v>45</v>
      </c>
      <c r="C302" s="70" t="s">
        <v>7</v>
      </c>
      <c r="D302" s="70" t="s">
        <v>695</v>
      </c>
      <c r="E302" s="70" t="s">
        <v>621</v>
      </c>
      <c r="F302" s="70">
        <v>2.0</v>
      </c>
      <c r="G302" s="70">
        <v>1.0</v>
      </c>
      <c r="H302" s="70">
        <v>2.0</v>
      </c>
      <c r="I302" s="70" t="s">
        <v>7</v>
      </c>
      <c r="J302" s="70" t="s">
        <v>622</v>
      </c>
    </row>
    <row r="303">
      <c r="A303" s="70" t="s">
        <v>73</v>
      </c>
      <c r="B303" s="70" t="s">
        <v>67</v>
      </c>
      <c r="C303" s="70" t="s">
        <v>7</v>
      </c>
      <c r="D303" s="70" t="s">
        <v>695</v>
      </c>
      <c r="E303" s="70" t="s">
        <v>621</v>
      </c>
      <c r="F303" s="70">
        <v>2.0</v>
      </c>
      <c r="G303" s="70">
        <v>1.0</v>
      </c>
      <c r="H303" s="70">
        <v>2.0</v>
      </c>
      <c r="I303" s="70" t="s">
        <v>7</v>
      </c>
      <c r="J303" s="70" t="s">
        <v>622</v>
      </c>
    </row>
    <row r="304">
      <c r="A304" s="70" t="s">
        <v>90</v>
      </c>
      <c r="B304" s="70" t="s">
        <v>92</v>
      </c>
      <c r="C304" s="70" t="s">
        <v>7</v>
      </c>
      <c r="D304" s="70" t="s">
        <v>695</v>
      </c>
      <c r="E304" s="70" t="s">
        <v>621</v>
      </c>
      <c r="F304" s="70">
        <v>2.0</v>
      </c>
      <c r="G304" s="70">
        <v>1.0</v>
      </c>
      <c r="H304" s="70">
        <v>2.0</v>
      </c>
      <c r="I304" s="70" t="s">
        <v>7</v>
      </c>
      <c r="J304" s="70" t="s">
        <v>622</v>
      </c>
    </row>
    <row r="305">
      <c r="A305" s="70" t="s">
        <v>113</v>
      </c>
      <c r="B305" s="70" t="s">
        <v>115</v>
      </c>
      <c r="C305" s="70" t="s">
        <v>7</v>
      </c>
      <c r="D305" s="70" t="s">
        <v>695</v>
      </c>
      <c r="E305" s="70" t="s">
        <v>621</v>
      </c>
      <c r="F305" s="70">
        <v>2.0</v>
      </c>
      <c r="G305" s="70">
        <v>1.0</v>
      </c>
      <c r="H305" s="70">
        <v>2.0</v>
      </c>
      <c r="I305" s="70" t="s">
        <v>7</v>
      </c>
      <c r="J305" s="70" t="s">
        <v>622</v>
      </c>
    </row>
    <row r="306">
      <c r="A306" s="70" t="s">
        <v>135</v>
      </c>
      <c r="B306" s="70" t="s">
        <v>137</v>
      </c>
      <c r="C306" s="70" t="s">
        <v>7</v>
      </c>
      <c r="D306" s="70" t="s">
        <v>695</v>
      </c>
      <c r="E306" s="70" t="s">
        <v>621</v>
      </c>
      <c r="F306" s="70">
        <v>2.0</v>
      </c>
      <c r="G306" s="70">
        <v>1.0</v>
      </c>
      <c r="H306" s="70">
        <v>2.0</v>
      </c>
      <c r="I306" s="70" t="s">
        <v>7</v>
      </c>
      <c r="J306" s="70" t="s">
        <v>622</v>
      </c>
    </row>
    <row r="307">
      <c r="A307" s="70" t="s">
        <v>157</v>
      </c>
      <c r="B307" s="70" t="s">
        <v>159</v>
      </c>
      <c r="C307" s="70" t="s">
        <v>7</v>
      </c>
      <c r="D307" s="70" t="s">
        <v>695</v>
      </c>
      <c r="E307" s="70" t="s">
        <v>621</v>
      </c>
      <c r="F307" s="70">
        <v>2.0</v>
      </c>
      <c r="G307" s="70">
        <v>1.0</v>
      </c>
      <c r="H307" s="70">
        <v>2.0</v>
      </c>
      <c r="I307" s="70" t="s">
        <v>7</v>
      </c>
      <c r="J307" s="70" t="s">
        <v>622</v>
      </c>
    </row>
    <row r="308">
      <c r="A308" s="70" t="s">
        <v>179</v>
      </c>
      <c r="B308" s="70" t="s">
        <v>182</v>
      </c>
      <c r="C308" s="70" t="s">
        <v>7</v>
      </c>
      <c r="D308" s="70" t="s">
        <v>695</v>
      </c>
      <c r="E308" s="70" t="s">
        <v>621</v>
      </c>
      <c r="F308" s="70">
        <v>2.0</v>
      </c>
      <c r="G308" s="70">
        <v>1.0</v>
      </c>
      <c r="H308" s="70">
        <v>2.0</v>
      </c>
      <c r="I308" s="70" t="s">
        <v>7</v>
      </c>
      <c r="J308" s="70" t="s">
        <v>622</v>
      </c>
    </row>
    <row r="309">
      <c r="A309" s="70" t="s">
        <v>201</v>
      </c>
      <c r="B309" s="70" t="s">
        <v>186</v>
      </c>
      <c r="C309" s="70" t="s">
        <v>7</v>
      </c>
      <c r="D309" s="70" t="s">
        <v>695</v>
      </c>
      <c r="E309" s="70" t="s">
        <v>621</v>
      </c>
      <c r="F309" s="70">
        <v>2.0</v>
      </c>
      <c r="G309" s="70">
        <v>1.0</v>
      </c>
      <c r="H309" s="70">
        <v>2.0</v>
      </c>
      <c r="I309" s="70" t="s">
        <v>7</v>
      </c>
      <c r="J309" s="70" t="s">
        <v>622</v>
      </c>
    </row>
    <row r="310">
      <c r="A310" s="70" t="s">
        <v>222</v>
      </c>
      <c r="B310" s="70" t="s">
        <v>208</v>
      </c>
      <c r="C310" s="70" t="s">
        <v>7</v>
      </c>
      <c r="D310" s="70" t="s">
        <v>695</v>
      </c>
      <c r="E310" s="70" t="s">
        <v>621</v>
      </c>
      <c r="F310" s="70">
        <v>2.0</v>
      </c>
      <c r="G310" s="70">
        <v>1.0</v>
      </c>
      <c r="H310" s="70">
        <v>2.0</v>
      </c>
      <c r="I310" s="70" t="s">
        <v>7</v>
      </c>
      <c r="J310" s="70" t="s">
        <v>622</v>
      </c>
    </row>
    <row r="311">
      <c r="A311" s="70" t="s">
        <v>239</v>
      </c>
      <c r="B311" s="70" t="s">
        <v>236</v>
      </c>
      <c r="C311" s="70" t="s">
        <v>7</v>
      </c>
      <c r="D311" s="70" t="s">
        <v>695</v>
      </c>
      <c r="E311" s="70" t="s">
        <v>621</v>
      </c>
      <c r="F311" s="70">
        <v>2.0</v>
      </c>
      <c r="G311" s="70">
        <v>1.0</v>
      </c>
      <c r="H311" s="70">
        <v>2.0</v>
      </c>
      <c r="I311" s="70" t="s">
        <v>7</v>
      </c>
      <c r="J311" s="70" t="s">
        <v>622</v>
      </c>
    </row>
    <row r="312">
      <c r="A312" s="70" t="s">
        <v>261</v>
      </c>
      <c r="B312" s="70" t="s">
        <v>227</v>
      </c>
      <c r="C312" s="70" t="s">
        <v>7</v>
      </c>
      <c r="D312" s="70" t="s">
        <v>695</v>
      </c>
      <c r="E312" s="70" t="s">
        <v>621</v>
      </c>
      <c r="F312" s="70">
        <v>2.0</v>
      </c>
      <c r="G312" s="70">
        <v>1.0</v>
      </c>
      <c r="H312" s="70">
        <v>2.0</v>
      </c>
      <c r="I312" s="70" t="s">
        <v>7</v>
      </c>
      <c r="J312" s="70" t="s">
        <v>622</v>
      </c>
    </row>
    <row r="313">
      <c r="A313" s="70" t="s">
        <v>292</v>
      </c>
      <c r="B313" s="70" t="s">
        <v>255</v>
      </c>
      <c r="C313" s="70" t="s">
        <v>7</v>
      </c>
      <c r="D313" s="70" t="s">
        <v>695</v>
      </c>
      <c r="E313" s="70" t="s">
        <v>621</v>
      </c>
      <c r="F313" s="70">
        <v>2.0</v>
      </c>
      <c r="G313" s="70">
        <v>1.0</v>
      </c>
      <c r="H313" s="70">
        <v>2.0</v>
      </c>
      <c r="I313" s="70" t="s">
        <v>7</v>
      </c>
      <c r="J313" s="70" t="s">
        <v>622</v>
      </c>
    </row>
    <row r="314">
      <c r="A314" s="70" t="s">
        <v>318</v>
      </c>
      <c r="B314" s="70" t="s">
        <v>708</v>
      </c>
      <c r="C314" s="70" t="s">
        <v>7</v>
      </c>
      <c r="D314" s="70" t="s">
        <v>695</v>
      </c>
      <c r="E314" s="70" t="s">
        <v>621</v>
      </c>
      <c r="F314" s="70">
        <v>2.0</v>
      </c>
      <c r="G314" s="70">
        <v>1.0</v>
      </c>
      <c r="H314" s="70">
        <v>2.0</v>
      </c>
      <c r="I314" s="70" t="s">
        <v>7</v>
      </c>
      <c r="J314" s="70" t="s">
        <v>622</v>
      </c>
    </row>
    <row r="315">
      <c r="A315" s="70" t="s">
        <v>333</v>
      </c>
      <c r="B315" s="70" t="s">
        <v>291</v>
      </c>
      <c r="C315" s="70" t="s">
        <v>7</v>
      </c>
      <c r="D315" s="70" t="s">
        <v>695</v>
      </c>
      <c r="E315" s="70" t="s">
        <v>621</v>
      </c>
      <c r="F315" s="70">
        <v>2.0</v>
      </c>
      <c r="G315" s="70">
        <v>1.0</v>
      </c>
      <c r="H315" s="70">
        <v>2.0</v>
      </c>
      <c r="I315" s="70" t="s">
        <v>7</v>
      </c>
      <c r="J315" s="70" t="s">
        <v>622</v>
      </c>
    </row>
    <row r="316">
      <c r="A316" s="70" t="s">
        <v>338</v>
      </c>
      <c r="B316" s="70" t="s">
        <v>709</v>
      </c>
      <c r="C316" s="70" t="s">
        <v>7</v>
      </c>
      <c r="D316" s="70" t="s">
        <v>695</v>
      </c>
      <c r="E316" s="70" t="s">
        <v>621</v>
      </c>
      <c r="F316" s="70">
        <v>2.0</v>
      </c>
      <c r="G316" s="70">
        <v>1.0</v>
      </c>
      <c r="H316" s="70">
        <v>2.0</v>
      </c>
      <c r="I316" s="70" t="s">
        <v>7</v>
      </c>
      <c r="J316" s="70" t="s">
        <v>622</v>
      </c>
    </row>
    <row r="317">
      <c r="A317" s="70" t="s">
        <v>34</v>
      </c>
      <c r="B317" s="70" t="s">
        <v>36</v>
      </c>
      <c r="C317" s="70" t="s">
        <v>8</v>
      </c>
      <c r="D317" s="70" t="s">
        <v>695</v>
      </c>
      <c r="E317" s="70" t="s">
        <v>621</v>
      </c>
      <c r="F317" s="70">
        <v>2.0</v>
      </c>
      <c r="G317" s="70">
        <v>1.0</v>
      </c>
      <c r="H317" s="70">
        <v>2.0</v>
      </c>
      <c r="I317" s="70" t="s">
        <v>8</v>
      </c>
      <c r="J317" s="70" t="s">
        <v>622</v>
      </c>
    </row>
    <row r="318">
      <c r="A318" s="70" t="s">
        <v>57</v>
      </c>
      <c r="B318" s="70" t="s">
        <v>45</v>
      </c>
      <c r="C318" s="70" t="s">
        <v>8</v>
      </c>
      <c r="D318" s="70" t="s">
        <v>695</v>
      </c>
      <c r="E318" s="70" t="s">
        <v>621</v>
      </c>
      <c r="F318" s="70">
        <v>2.0</v>
      </c>
      <c r="G318" s="70">
        <v>1.0</v>
      </c>
      <c r="H318" s="70">
        <v>2.0</v>
      </c>
      <c r="I318" s="70" t="s">
        <v>8</v>
      </c>
      <c r="J318" s="70" t="s">
        <v>622</v>
      </c>
    </row>
    <row r="319">
      <c r="A319" s="70" t="s">
        <v>74</v>
      </c>
      <c r="B319" s="70" t="s">
        <v>67</v>
      </c>
      <c r="C319" s="70" t="s">
        <v>8</v>
      </c>
      <c r="D319" s="70" t="s">
        <v>695</v>
      </c>
      <c r="E319" s="70" t="s">
        <v>621</v>
      </c>
      <c r="F319" s="70">
        <v>2.0</v>
      </c>
      <c r="G319" s="70">
        <v>1.0</v>
      </c>
      <c r="H319" s="70">
        <v>2.0</v>
      </c>
      <c r="I319" s="70" t="s">
        <v>8</v>
      </c>
      <c r="J319" s="70" t="s">
        <v>622</v>
      </c>
    </row>
    <row r="320">
      <c r="A320" s="70" t="s">
        <v>95</v>
      </c>
      <c r="B320" s="70" t="s">
        <v>92</v>
      </c>
      <c r="C320" s="70" t="s">
        <v>8</v>
      </c>
      <c r="D320" s="70" t="s">
        <v>695</v>
      </c>
      <c r="E320" s="70" t="s">
        <v>621</v>
      </c>
      <c r="F320" s="70">
        <v>2.0</v>
      </c>
      <c r="G320" s="70">
        <v>1.0</v>
      </c>
      <c r="H320" s="70">
        <v>2.0</v>
      </c>
      <c r="I320" s="70" t="s">
        <v>8</v>
      </c>
      <c r="J320" s="70" t="s">
        <v>622</v>
      </c>
    </row>
    <row r="321">
      <c r="A321" s="70" t="s">
        <v>118</v>
      </c>
      <c r="B321" s="70" t="s">
        <v>115</v>
      </c>
      <c r="C321" s="70" t="s">
        <v>8</v>
      </c>
      <c r="D321" s="70" t="s">
        <v>695</v>
      </c>
      <c r="E321" s="70" t="s">
        <v>621</v>
      </c>
      <c r="F321" s="70">
        <v>2.0</v>
      </c>
      <c r="G321" s="70">
        <v>1.0</v>
      </c>
      <c r="H321" s="70">
        <v>2.0</v>
      </c>
      <c r="I321" s="70" t="s">
        <v>8</v>
      </c>
      <c r="J321" s="70" t="s">
        <v>622</v>
      </c>
    </row>
    <row r="322">
      <c r="A322" s="70" t="s">
        <v>141</v>
      </c>
      <c r="B322" s="70" t="s">
        <v>137</v>
      </c>
      <c r="C322" s="70" t="s">
        <v>8</v>
      </c>
      <c r="D322" s="70" t="s">
        <v>695</v>
      </c>
      <c r="E322" s="70" t="s">
        <v>621</v>
      </c>
      <c r="F322" s="70">
        <v>2.0</v>
      </c>
      <c r="G322" s="70">
        <v>1.0</v>
      </c>
      <c r="H322" s="70">
        <v>2.0</v>
      </c>
      <c r="I322" s="70" t="s">
        <v>8</v>
      </c>
      <c r="J322" s="70" t="s">
        <v>622</v>
      </c>
    </row>
    <row r="323">
      <c r="A323" s="70" t="s">
        <v>162</v>
      </c>
      <c r="B323" s="70" t="s">
        <v>159</v>
      </c>
      <c r="C323" s="70" t="s">
        <v>8</v>
      </c>
      <c r="D323" s="70" t="s">
        <v>695</v>
      </c>
      <c r="E323" s="70" t="s">
        <v>621</v>
      </c>
      <c r="F323" s="70">
        <v>2.0</v>
      </c>
      <c r="G323" s="70">
        <v>1.0</v>
      </c>
      <c r="H323" s="70">
        <v>2.0</v>
      </c>
      <c r="I323" s="70" t="s">
        <v>8</v>
      </c>
      <c r="J323" s="70" t="s">
        <v>622</v>
      </c>
    </row>
    <row r="324">
      <c r="A324" s="70" t="s">
        <v>184</v>
      </c>
      <c r="B324" s="70" t="s">
        <v>186</v>
      </c>
      <c r="C324" s="70" t="s">
        <v>8</v>
      </c>
      <c r="D324" s="70" t="s">
        <v>695</v>
      </c>
      <c r="E324" s="70" t="s">
        <v>621</v>
      </c>
      <c r="F324" s="70">
        <v>2.0</v>
      </c>
      <c r="G324" s="70">
        <v>1.0</v>
      </c>
      <c r="H324" s="70">
        <v>2.0</v>
      </c>
      <c r="I324" s="70" t="s">
        <v>8</v>
      </c>
      <c r="J324" s="70" t="s">
        <v>622</v>
      </c>
    </row>
    <row r="325">
      <c r="A325" s="70" t="s">
        <v>205</v>
      </c>
      <c r="B325" s="70" t="s">
        <v>208</v>
      </c>
      <c r="C325" s="70" t="s">
        <v>8</v>
      </c>
      <c r="D325" s="70" t="s">
        <v>695</v>
      </c>
      <c r="E325" s="70" t="s">
        <v>621</v>
      </c>
      <c r="F325" s="70">
        <v>2.0</v>
      </c>
      <c r="G325" s="70">
        <v>1.0</v>
      </c>
      <c r="H325" s="70">
        <v>2.0</v>
      </c>
      <c r="I325" s="70" t="s">
        <v>8</v>
      </c>
      <c r="J325" s="70" t="s">
        <v>622</v>
      </c>
    </row>
    <row r="326">
      <c r="A326" s="70" t="s">
        <v>226</v>
      </c>
      <c r="B326" s="70" t="s">
        <v>227</v>
      </c>
      <c r="C326" s="70" t="s">
        <v>8</v>
      </c>
      <c r="D326" s="70" t="s">
        <v>695</v>
      </c>
      <c r="E326" s="70" t="s">
        <v>621</v>
      </c>
      <c r="F326" s="70">
        <v>2.0</v>
      </c>
      <c r="G326" s="70">
        <v>1.0</v>
      </c>
      <c r="H326" s="70">
        <v>2.0</v>
      </c>
      <c r="I326" s="70" t="s">
        <v>8</v>
      </c>
      <c r="J326" s="70" t="s">
        <v>622</v>
      </c>
    </row>
    <row r="327">
      <c r="A327" s="70" t="s">
        <v>241</v>
      </c>
      <c r="B327" s="70" t="s">
        <v>243</v>
      </c>
      <c r="C327" s="70" t="s">
        <v>8</v>
      </c>
      <c r="D327" s="70" t="s">
        <v>695</v>
      </c>
      <c r="E327" s="70" t="s">
        <v>621</v>
      </c>
      <c r="F327" s="70">
        <v>2.0</v>
      </c>
      <c r="G327" s="70">
        <v>1.0</v>
      </c>
      <c r="H327" s="70">
        <v>2.0</v>
      </c>
      <c r="I327" s="70" t="s">
        <v>8</v>
      </c>
      <c r="J327" s="70" t="s">
        <v>622</v>
      </c>
    </row>
    <row r="328">
      <c r="A328" s="70" t="s">
        <v>266</v>
      </c>
      <c r="B328" s="70" t="s">
        <v>182</v>
      </c>
      <c r="C328" s="70" t="s">
        <v>8</v>
      </c>
      <c r="D328" s="70" t="s">
        <v>695</v>
      </c>
      <c r="E328" s="70" t="s">
        <v>621</v>
      </c>
      <c r="F328" s="70">
        <v>2.0</v>
      </c>
      <c r="G328" s="70">
        <v>1.0</v>
      </c>
      <c r="H328" s="70">
        <v>2.0</v>
      </c>
      <c r="I328" s="70" t="s">
        <v>8</v>
      </c>
      <c r="J328" s="70" t="s">
        <v>622</v>
      </c>
    </row>
    <row r="329">
      <c r="A329" s="70" t="s">
        <v>295</v>
      </c>
      <c r="B329" s="70" t="s">
        <v>255</v>
      </c>
      <c r="C329" s="70" t="s">
        <v>8</v>
      </c>
      <c r="D329" s="70" t="s">
        <v>695</v>
      </c>
      <c r="E329" s="70" t="s">
        <v>621</v>
      </c>
      <c r="F329" s="70">
        <v>2.0</v>
      </c>
      <c r="G329" s="70">
        <v>1.0</v>
      </c>
      <c r="H329" s="70">
        <v>2.0</v>
      </c>
      <c r="I329" s="70" t="s">
        <v>8</v>
      </c>
      <c r="J329" s="70" t="s">
        <v>622</v>
      </c>
    </row>
    <row r="330">
      <c r="A330" s="70" t="s">
        <v>321</v>
      </c>
      <c r="B330" s="70" t="s">
        <v>324</v>
      </c>
      <c r="C330" s="70" t="s">
        <v>8</v>
      </c>
      <c r="D330" s="70" t="s">
        <v>695</v>
      </c>
      <c r="E330" s="70" t="s">
        <v>621</v>
      </c>
      <c r="F330" s="70">
        <v>2.0</v>
      </c>
      <c r="G330" s="70">
        <v>1.0</v>
      </c>
      <c r="H330" s="70">
        <v>2.0</v>
      </c>
      <c r="I330" s="70" t="s">
        <v>8</v>
      </c>
      <c r="J330" s="70" t="s">
        <v>622</v>
      </c>
    </row>
    <row r="331">
      <c r="A331" s="70" t="s">
        <v>37</v>
      </c>
      <c r="B331" s="70" t="s">
        <v>40</v>
      </c>
      <c r="C331" s="70" t="s">
        <v>9</v>
      </c>
      <c r="D331" s="70" t="s">
        <v>695</v>
      </c>
      <c r="E331" s="70" t="s">
        <v>647</v>
      </c>
      <c r="F331" s="70">
        <v>7.0</v>
      </c>
      <c r="G331" s="70">
        <v>7.0</v>
      </c>
      <c r="H331" s="70">
        <v>7.0</v>
      </c>
      <c r="I331" s="70" t="s">
        <v>713</v>
      </c>
      <c r="J331" s="70" t="s">
        <v>622</v>
      </c>
    </row>
    <row r="332">
      <c r="A332" s="70" t="s">
        <v>60</v>
      </c>
      <c r="B332" s="70" t="s">
        <v>62</v>
      </c>
      <c r="C332" s="70" t="s">
        <v>9</v>
      </c>
      <c r="D332" s="70" t="s">
        <v>695</v>
      </c>
      <c r="E332" s="70" t="s">
        <v>647</v>
      </c>
      <c r="F332" s="70">
        <v>7.0</v>
      </c>
      <c r="G332" s="70">
        <v>7.0</v>
      </c>
      <c r="H332" s="70">
        <v>7.0</v>
      </c>
      <c r="I332" s="70" t="s">
        <v>713</v>
      </c>
      <c r="J332" s="70" t="s">
        <v>622</v>
      </c>
    </row>
    <row r="333">
      <c r="A333" s="70" t="s">
        <v>75</v>
      </c>
      <c r="B333" s="70" t="s">
        <v>76</v>
      </c>
      <c r="C333" s="70" t="s">
        <v>9</v>
      </c>
      <c r="D333" s="70" t="s">
        <v>695</v>
      </c>
      <c r="E333" s="70" t="s">
        <v>647</v>
      </c>
      <c r="F333" s="70">
        <v>6.0</v>
      </c>
      <c r="G333" s="70">
        <v>6.0</v>
      </c>
      <c r="H333" s="70">
        <v>6.0</v>
      </c>
      <c r="I333" s="70" t="s">
        <v>713</v>
      </c>
      <c r="J333" s="70" t="s">
        <v>622</v>
      </c>
    </row>
    <row r="334">
      <c r="A334" s="70" t="s">
        <v>99</v>
      </c>
      <c r="B334" s="70" t="s">
        <v>100</v>
      </c>
      <c r="C334" s="70" t="s">
        <v>9</v>
      </c>
      <c r="D334" s="70" t="s">
        <v>695</v>
      </c>
      <c r="E334" s="70" t="s">
        <v>621</v>
      </c>
      <c r="F334" s="70">
        <v>1.0</v>
      </c>
      <c r="G334" s="70">
        <v>1.0</v>
      </c>
      <c r="H334" s="70">
        <v>1.0</v>
      </c>
      <c r="I334" s="70" t="s">
        <v>9</v>
      </c>
      <c r="J334" s="70" t="s">
        <v>622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6.0" topLeftCell="G7" activePane="bottomRight" state="frozen"/>
      <selection activeCell="G1" sqref="G1" pane="topRight"/>
      <selection activeCell="A7" sqref="A7" pane="bottomLeft"/>
      <selection activeCell="G7" sqref="G7" pane="bottomRight"/>
    </sheetView>
  </sheetViews>
  <sheetFormatPr customHeight="1" defaultColWidth="12.63" defaultRowHeight="15.75"/>
  <cols>
    <col customWidth="1" min="1" max="1" width="16.63"/>
    <col customWidth="1" min="2" max="2" width="25.88"/>
    <col customWidth="1" min="3" max="3" width="5.75"/>
    <col customWidth="1" min="4" max="4" width="12.25"/>
    <col customWidth="1" min="5" max="5" width="10.88"/>
    <col customWidth="1" min="6" max="6" width="32.25"/>
    <col customWidth="1" min="7" max="89" width="15.75"/>
  </cols>
  <sheetData>
    <row r="1">
      <c r="A1" s="82" t="s">
        <v>612</v>
      </c>
      <c r="B1" s="83" t="s">
        <v>5</v>
      </c>
      <c r="D1" s="84" t="s">
        <v>671</v>
      </c>
      <c r="E1" s="84" t="s">
        <v>672</v>
      </c>
      <c r="F1" s="84" t="s">
        <v>673</v>
      </c>
      <c r="G1" s="84" t="s">
        <v>674</v>
      </c>
      <c r="H1" s="84" t="s">
        <v>675</v>
      </c>
      <c r="J1" s="70"/>
      <c r="L1" s="70"/>
    </row>
    <row r="2">
      <c r="A2" s="82" t="s">
        <v>676</v>
      </c>
      <c r="B2" s="83" t="s">
        <v>678</v>
      </c>
      <c r="D2" s="85">
        <f>COUNTIFS('MASTER LIST'!$D$2:$D$294, $B$1, 'MASTER LIST'!$E$2:$E$294, $B$3, 'MASTER LIST'!$F$2:$F$294, "Active")</f>
        <v>17</v>
      </c>
      <c r="E2" s="85">
        <f>COUNTIFS('MASTER LIST'!$D$2:$D$294, $B$1, 'MASTER LIST'!$E$2:$E$294, $B$3, 'MASTER LIST'!$M$2:$M$294, "Compliant")</f>
        <v>0</v>
      </c>
      <c r="F2" s="85">
        <f>COUNTIFS('MASTER LIST'!$D$2:$D$294, $B$1, 'MASTER LIST'!$E$2:$E$294, $B$3, 'MASTER LIST'!$M$2:$M$294, "Min 1 Required*")</f>
        <v>17</v>
      </c>
      <c r="G2" s="85">
        <f>COUNTIFS('MASTER LIST'!$D$2:$D$294, $B$1, 'MASTER LIST'!$E$2:$E$294, $B$3, 'MASTER LIST'!$M$2:$M$294, "*Quota Exceeded*")</f>
        <v>0</v>
      </c>
      <c r="H2" s="85">
        <f>SUMIF('MASTER LIST'!$E$2:$E$294, $B$3, 'MASTER LIST'!$L$2:$L$294)</f>
        <v>0</v>
      </c>
    </row>
    <row r="3">
      <c r="A3" s="82" t="s">
        <v>683</v>
      </c>
      <c r="B3" s="83" t="s">
        <v>195</v>
      </c>
      <c r="D3" s="86" t="s">
        <v>684</v>
      </c>
      <c r="E3" s="86" t="s">
        <v>685</v>
      </c>
      <c r="F3" s="86" t="s">
        <v>687</v>
      </c>
      <c r="G3" s="86" t="s">
        <v>688</v>
      </c>
      <c r="H3" s="86" t="s">
        <v>689</v>
      </c>
      <c r="J3" s="70"/>
      <c r="L3" s="70"/>
    </row>
    <row r="4">
      <c r="A4" s="82" t="s">
        <v>690</v>
      </c>
      <c r="B4" s="87">
        <f>COUNTIFS('MASTER LIST'!$D$2:$D$294, $B$1, 'MASTER LIST'!$E$2:$E$294, $B$3, 'MASTER LIST'!$F$2:$F$294, "Active")</f>
        <v>17</v>
      </c>
    </row>
    <row r="5">
      <c r="G5" s="73" t="str">
        <f>IFERROR(__xludf.DUMMYFUNCTION("IFERROR(TRANSPOSE(FILTER(PROGRAM_DIRECTORY!$A$2:$A$334, PROGRAM_DIRECTORY!$C$2:$C$334=$B$1, IF(OR($B$2=""All Programs"", $B$2=""All"", $B$2=""""), PROGRAM_DIRECTORY!$A$2:$A$334&lt;&gt;"""", PROGRAM_DIRECTORY!$D$2:$D$334=SWITCH($B$2, ""ST"", ""Stage"", ""FS"", "&amp;"""Non-Stage"", ""Off-Stage"", ""Non-Stage"", ""SP"", ""Sports"", $B$2)))), """")"),"TS1")</f>
        <v>TS1</v>
      </c>
      <c r="H5" s="73" t="str">
        <f>IFERROR(__xludf.DUMMYFUNCTION("""COMPUTED_VALUE"""),"TS2")</f>
        <v>TS2</v>
      </c>
      <c r="I5" s="73" t="str">
        <f>IFERROR(__xludf.DUMMYFUNCTION("""COMPUTED_VALUE"""),"TS3")</f>
        <v>TS3</v>
      </c>
      <c r="J5" s="73" t="str">
        <f>IFERROR(__xludf.DUMMYFUNCTION("""COMPUTED_VALUE"""),"TS4")</f>
        <v>TS4</v>
      </c>
      <c r="K5" s="73" t="str">
        <f>IFERROR(__xludf.DUMMYFUNCTION("""COMPUTED_VALUE"""),"TS5")</f>
        <v>TS5</v>
      </c>
      <c r="L5" s="73" t="str">
        <f>IFERROR(__xludf.DUMMYFUNCTION("""COMPUTED_VALUE"""),"TS6")</f>
        <v>TS6</v>
      </c>
      <c r="M5" s="73" t="str">
        <f>IFERROR(__xludf.DUMMYFUNCTION("""COMPUTED_VALUE"""),"TS7")</f>
        <v>TS7</v>
      </c>
      <c r="N5" s="73" t="str">
        <f>IFERROR(__xludf.DUMMYFUNCTION("""COMPUTED_VALUE"""),"TS8")</f>
        <v>TS8</v>
      </c>
      <c r="O5" s="73" t="str">
        <f>IFERROR(__xludf.DUMMYFUNCTION("""COMPUTED_VALUE"""),"TS9")</f>
        <v>TS9</v>
      </c>
      <c r="P5" s="73" t="str">
        <f>IFERROR(__xludf.DUMMYFUNCTION("""COMPUTED_VALUE"""),"TS10")</f>
        <v>TS10</v>
      </c>
      <c r="Q5" s="73" t="str">
        <f>IFERROR(__xludf.DUMMYFUNCTION("""COMPUTED_VALUE"""),"TS11")</f>
        <v>TS11</v>
      </c>
      <c r="R5" s="73" t="str">
        <f>IFERROR(__xludf.DUMMYFUNCTION("""COMPUTED_VALUE"""),"TS12")</f>
        <v>TS12</v>
      </c>
      <c r="S5" s="73" t="str">
        <f>IFERROR(__xludf.DUMMYFUNCTION("""COMPUTED_VALUE"""),"TS13")</f>
        <v>TS13</v>
      </c>
      <c r="T5" s="73" t="str">
        <f>IFERROR(__xludf.DUMMYFUNCTION("""COMPUTED_VALUE"""),"TS14")</f>
        <v>TS14</v>
      </c>
      <c r="U5" s="73" t="str">
        <f>IFERROR(__xludf.DUMMYFUNCTION("""COMPUTED_VALUE"""),"TS15")</f>
        <v>TS15</v>
      </c>
      <c r="V5" s="73" t="str">
        <f>IFERROR(__xludf.DUMMYFUNCTION("""COMPUTED_VALUE"""),"TS16")</f>
        <v>TS16</v>
      </c>
      <c r="W5" s="73" t="str">
        <f>IFERROR(__xludf.DUMMYFUNCTION("""COMPUTED_VALUE"""),"TS17")</f>
        <v>TS17</v>
      </c>
      <c r="X5" s="73" t="str">
        <f>IFERROR(__xludf.DUMMYFUNCTION("""COMPUTED_VALUE"""),"TS18")</f>
        <v>TS18</v>
      </c>
      <c r="Y5" s="73" t="str">
        <f>IFERROR(__xludf.DUMMYFUNCTION("""COMPUTED_VALUE"""),"TS19")</f>
        <v>TS19</v>
      </c>
      <c r="Z5" s="73" t="str">
        <f>IFERROR(__xludf.DUMMYFUNCTION("""COMPUTED_VALUE"""),"TS20")</f>
        <v>TS20</v>
      </c>
      <c r="AA5" s="73" t="str">
        <f>IFERROR(__xludf.DUMMYFUNCTION("""COMPUTED_VALUE"""),"TS21")</f>
        <v>TS21</v>
      </c>
      <c r="AB5" s="73" t="str">
        <f>IFERROR(__xludf.DUMMYFUNCTION("""COMPUTED_VALUE"""),"TS22")</f>
        <v>TS22</v>
      </c>
      <c r="AC5" s="73" t="str">
        <f>IFERROR(__xludf.DUMMYFUNCTION("""COMPUTED_VALUE"""),"TS23")</f>
        <v>TS23</v>
      </c>
      <c r="AD5" s="73" t="str">
        <f>IFERROR(__xludf.DUMMYFUNCTION("""COMPUTED_VALUE"""),"TNS1")</f>
        <v>TNS1</v>
      </c>
      <c r="AE5" s="73" t="str">
        <f>IFERROR(__xludf.DUMMYFUNCTION("""COMPUTED_VALUE"""),"TNS2")</f>
        <v>TNS2</v>
      </c>
      <c r="AF5" s="73" t="str">
        <f>IFERROR(__xludf.DUMMYFUNCTION("""COMPUTED_VALUE"""),"TNS3")</f>
        <v>TNS3</v>
      </c>
      <c r="AG5" s="73" t="str">
        <f>IFERROR(__xludf.DUMMYFUNCTION("""COMPUTED_VALUE"""),"TNS4")</f>
        <v>TNS4</v>
      </c>
      <c r="AH5" s="73" t="str">
        <f>IFERROR(__xludf.DUMMYFUNCTION("""COMPUTED_VALUE"""),"TNS5")</f>
        <v>TNS5</v>
      </c>
      <c r="AI5" s="73" t="str">
        <f>IFERROR(__xludf.DUMMYFUNCTION("""COMPUTED_VALUE"""),"TNS6")</f>
        <v>TNS6</v>
      </c>
      <c r="AJ5" s="73" t="str">
        <f>IFERROR(__xludf.DUMMYFUNCTION("""COMPUTED_VALUE"""),"TNS7")</f>
        <v>TNS7</v>
      </c>
      <c r="AK5" s="73" t="str">
        <f>IFERROR(__xludf.DUMMYFUNCTION("""COMPUTED_VALUE"""),"TNS8")</f>
        <v>TNS8</v>
      </c>
      <c r="AL5" s="73" t="str">
        <f>IFERROR(__xludf.DUMMYFUNCTION("""COMPUTED_VALUE"""),"TNS9")</f>
        <v>TNS9</v>
      </c>
      <c r="AM5" s="73" t="str">
        <f>IFERROR(__xludf.DUMMYFUNCTION("""COMPUTED_VALUE"""),"TNS10")</f>
        <v>TNS10</v>
      </c>
      <c r="AN5" s="73" t="str">
        <f>IFERROR(__xludf.DUMMYFUNCTION("""COMPUTED_VALUE"""),"TNS11")</f>
        <v>TNS11</v>
      </c>
      <c r="AO5" s="73" t="str">
        <f>IFERROR(__xludf.DUMMYFUNCTION("""COMPUTED_VALUE"""),"TNS12")</f>
        <v>TNS12</v>
      </c>
      <c r="AP5" s="73" t="str">
        <f>IFERROR(__xludf.DUMMYFUNCTION("""COMPUTED_VALUE"""),"TNS13")</f>
        <v>TNS13</v>
      </c>
      <c r="AQ5" s="73" t="str">
        <f>IFERROR(__xludf.DUMMYFUNCTION("""COMPUTED_VALUE"""),"TNS14")</f>
        <v>TNS14</v>
      </c>
      <c r="AR5" s="73" t="str">
        <f>IFERROR(__xludf.DUMMYFUNCTION("""COMPUTED_VALUE"""),"TNS15")</f>
        <v>TNS15</v>
      </c>
      <c r="AS5" s="73" t="str">
        <f>IFERROR(__xludf.DUMMYFUNCTION("""COMPUTED_VALUE"""),"TNS16")</f>
        <v>TNS16</v>
      </c>
      <c r="AT5" s="73" t="str">
        <f>IFERROR(__xludf.DUMMYFUNCTION("""COMPUTED_VALUE"""),"TNS17")</f>
        <v>TNS17</v>
      </c>
      <c r="AU5" s="73" t="str">
        <f>IFERROR(__xludf.DUMMYFUNCTION("""COMPUTED_VALUE"""),"TNS18")</f>
        <v>TNS18</v>
      </c>
      <c r="AV5" s="73" t="str">
        <f>IFERROR(__xludf.DUMMYFUNCTION("""COMPUTED_VALUE"""),"TNS19")</f>
        <v>TNS19</v>
      </c>
      <c r="AW5" s="73" t="str">
        <f>IFERROR(__xludf.DUMMYFUNCTION("""COMPUTED_VALUE"""),"TNS20")</f>
        <v>TNS20</v>
      </c>
      <c r="AX5" s="73" t="str">
        <f>IFERROR(__xludf.DUMMYFUNCTION("""COMPUTED_VALUE"""),"TNS21")</f>
        <v>TNS21</v>
      </c>
      <c r="AY5" s="73" t="str">
        <f>IFERROR(__xludf.DUMMYFUNCTION("""COMPUTED_VALUE"""),"TNS22")</f>
        <v>TNS22</v>
      </c>
      <c r="AZ5" s="73" t="str">
        <f>IFERROR(__xludf.DUMMYFUNCTION("""COMPUTED_VALUE"""),"TNS23")</f>
        <v>TNS23</v>
      </c>
      <c r="BA5" s="73" t="str">
        <f>IFERROR(__xludf.DUMMYFUNCTION("""COMPUTED_VALUE"""),"TNS24")</f>
        <v>TNS24</v>
      </c>
      <c r="BB5" s="73" t="str">
        <f>IFERROR(__xludf.DUMMYFUNCTION("""COMPUTED_VALUE"""),"TSP1")</f>
        <v>TSP1</v>
      </c>
      <c r="BC5" s="73" t="str">
        <f>IFERROR(__xludf.DUMMYFUNCTION("""COMPUTED_VALUE"""),"TSP2")</f>
        <v>TSP2</v>
      </c>
      <c r="BD5" s="73" t="str">
        <f>IFERROR(__xludf.DUMMYFUNCTION("""COMPUTED_VALUE"""),"TSP3")</f>
        <v>TSP3</v>
      </c>
      <c r="BE5" s="73" t="str">
        <f>IFERROR(__xludf.DUMMYFUNCTION("""COMPUTED_VALUE"""),"TSP4")</f>
        <v>TSP4</v>
      </c>
      <c r="BF5" s="73" t="str">
        <f>IFERROR(__xludf.DUMMYFUNCTION("""COMPUTED_VALUE"""),"TSP5")</f>
        <v>TSP5</v>
      </c>
      <c r="BG5" s="73" t="str">
        <f>IFERROR(__xludf.DUMMYFUNCTION("""COMPUTED_VALUE"""),"TSP6")</f>
        <v>TSP6</v>
      </c>
      <c r="BH5" s="73" t="str">
        <f>IFERROR(__xludf.DUMMYFUNCTION("""COMPUTED_VALUE"""),"TSP7")</f>
        <v>TSP7</v>
      </c>
      <c r="BI5" s="73" t="str">
        <f>IFERROR(__xludf.DUMMYFUNCTION("""COMPUTED_VALUE"""),"TSP8")</f>
        <v>TSP8</v>
      </c>
      <c r="BJ5" s="73" t="str">
        <f>IFERROR(__xludf.DUMMYFUNCTION("""COMPUTED_VALUE"""),"TSP9")</f>
        <v>TSP9</v>
      </c>
      <c r="BK5" s="73" t="str">
        <f>IFERROR(__xludf.DUMMYFUNCTION("""COMPUTED_VALUE"""),"TSP10")</f>
        <v>TSP10</v>
      </c>
      <c r="BL5" s="73" t="str">
        <f>IFERROR(__xludf.DUMMYFUNCTION("""COMPUTED_VALUE"""),"TSP11")</f>
        <v>TSP11</v>
      </c>
      <c r="BM5" s="73" t="str">
        <f>IFERROR(__xludf.DUMMYFUNCTION("""COMPUTED_VALUE"""),"TSP12")</f>
        <v>TSP12</v>
      </c>
      <c r="BN5" s="73" t="str">
        <f>IFERROR(__xludf.DUMMYFUNCTION("""COMPUTED_VALUE"""),"TSP13")</f>
        <v>TSP13</v>
      </c>
      <c r="BO5" s="73" t="str">
        <f>IFERROR(__xludf.DUMMYFUNCTION("""COMPUTED_VALUE"""),"TSP14")</f>
        <v>TSP14</v>
      </c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  <c r="CJ5" s="73"/>
      <c r="CK5" s="73"/>
    </row>
    <row r="6">
      <c r="A6" s="89" t="s">
        <v>96</v>
      </c>
      <c r="B6" s="89" t="s">
        <v>703</v>
      </c>
      <c r="C6" s="89" t="s">
        <v>125</v>
      </c>
      <c r="D6" s="89" t="s">
        <v>626</v>
      </c>
      <c r="E6" s="89" t="s">
        <v>119</v>
      </c>
      <c r="F6" s="89" t="s">
        <v>705</v>
      </c>
      <c r="G6" s="90" t="str">
        <f>IFERROR(__xludf.DUMMYFUNCTION("IFERROR(TRANSPOSE(FILTER(PROGRAM_DIRECTORY!$B$2:$B$334 &amp; "" ("" &amp; PROGRAM_DIRECTORY!$F$2:$F$334 &amp; "")"", PROGRAM_DIRECTORY!$C$2:$C$334=$B$1, IF(OR($B$2=""All Programs"", $B$2=""All"", $B$2=""""), PROGRAM_DIRECTORY!$A$2:$A$334&lt;&gt;"""", PROGRAM_DIRECTORY!$D$2"&amp;":$D$334=SWITCH($B$2, ""ST"", ""Stage"", ""FS"", ""Non-Stage"", ""Off-Stage"", ""Non-Stage"", ""SP"", ""Sports"", $B$2)))), """")"),"HIFZ &amp; QIRA'AH (2)")</f>
        <v>HIFZ &amp; QIRA'AH (2)</v>
      </c>
      <c r="H6" s="90" t="str">
        <f>IFERROR(__xludf.DUMMYFUNCTION("""COMPUTED_VALUE"""),"WA'Z (2)")</f>
        <v>WA'Z (2)</v>
      </c>
      <c r="I6" s="90" t="str">
        <f>IFERROR(__xludf.DUMMYFUNCTION("""COMPUTED_VALUE"""),"BHAKTHI GANAM (2)")</f>
        <v>BHAKTHI GANAM (2)</v>
      </c>
      <c r="J6" s="90" t="str">
        <f>IFERROR(__xludf.DUMMYFUNCTION("""COMPUTED_VALUE"""),"SONG ENG (2)")</f>
        <v>SONG ENG (2)</v>
      </c>
      <c r="K6" s="90" t="str">
        <f>IFERROR(__xludf.DUMMYFUNCTION("""COMPUTED_VALUE"""),"SONG ARB (2)")</f>
        <v>SONG ARB (2)</v>
      </c>
      <c r="L6" s="90" t="str">
        <f>IFERROR(__xludf.DUMMYFUNCTION("""COMPUTED_VALUE"""),"SONG URD (2)")</f>
        <v>SONG URD (2)</v>
      </c>
      <c r="M6" s="90" t="str">
        <f>IFERROR(__xludf.DUMMYFUNCTION("""COMPUTED_VALUE"""),"SPEECH MLM (2)")</f>
        <v>SPEECH MLM (2)</v>
      </c>
      <c r="N6" s="90" t="str">
        <f>IFERROR(__xludf.DUMMYFUNCTION("""COMPUTED_VALUE"""),"SPEECH ENG (2)")</f>
        <v>SPEECH ENG (2)</v>
      </c>
      <c r="O6" s="90" t="str">
        <f>IFERROR(__xludf.DUMMYFUNCTION("""COMPUTED_VALUE"""),"SPEECH ARB (2)")</f>
        <v>SPEECH ARB (2)</v>
      </c>
      <c r="P6" s="90" t="str">
        <f>IFERROR(__xludf.DUMMYFUNCTION("""COMPUTED_VALUE"""),"SPEECH URD (2)")</f>
        <v>SPEECH URD (2)</v>
      </c>
      <c r="Q6" s="90" t="str">
        <f>IFERROR(__xludf.DUMMYFUNCTION("""COMPUTED_VALUE"""),"PADHYAPARAYANAM (2)")</f>
        <v>PADHYAPARAYANAM (2)</v>
      </c>
      <c r="R6" s="90" t="str">
        <f>IFERROR(__xludf.DUMMYFUNCTION("""COMPUTED_VALUE"""),"HISTORY TALK ENG (2)")</f>
        <v>HISTORY TALK ENG (2)</v>
      </c>
      <c r="S6" s="90" t="str">
        <f>IFERROR(__xludf.DUMMYFUNCTION("""COMPUTED_VALUE"""),"ORU NIMISHAM (2)")</f>
        <v>ORU NIMISHAM (2)</v>
      </c>
      <c r="T6" s="90" t="str">
        <f>IFERROR(__xludf.DUMMYFUNCTION("""COMPUTED_VALUE"""),"NEWS WRITING AND READING MLM (2)")</f>
        <v>NEWS WRITING AND READING MLM (2)</v>
      </c>
      <c r="U6" s="90" t="str">
        <f>IFERROR(__xludf.DUMMYFUNCTION("""COMPUTED_VALUE"""),"SPELLING BEE (2)")</f>
        <v>SPELLING BEE (2)</v>
      </c>
      <c r="V6" s="90" t="str">
        <f>IFERROR(__xludf.DUMMYFUNCTION("""COMPUTED_VALUE"""),"GK QUIZ (2)")</f>
        <v>GK QUIZ (2)</v>
      </c>
      <c r="W6" s="90" t="str">
        <f>IFERROR(__xludf.DUMMYFUNCTION("""COMPUTED_VALUE"""),"SCIENCE MASTER (2)")</f>
        <v>SCIENCE MASTER (2)</v>
      </c>
      <c r="X6" s="90" t="str">
        <f>IFERROR(__xludf.DUMMYFUNCTION("""COMPUTED_VALUE"""),"GRAMMAR QUIZ (2)")</f>
        <v>GRAMMAR QUIZ (2)</v>
      </c>
      <c r="Y6" s="90" t="str">
        <f>IFERROR(__xludf.DUMMYFUNCTION("""COMPUTED_VALUE"""),"MATHS TALENT (2)")</f>
        <v>MATHS TALENT (2)</v>
      </c>
      <c r="Z6" s="90" t="str">
        <f>IFERROR(__xludf.DUMMYFUNCTION("""COMPUTED_VALUE"""),"SWARF IQ (2)")</f>
        <v>SWARF IQ (2)</v>
      </c>
      <c r="AA6" s="90" t="str">
        <f>IFERROR(__xludf.DUMMYFUNCTION("""COMPUTED_VALUE"""),"PADAPPATTU (2)")</f>
        <v>PADAPPATTU (2)</v>
      </c>
      <c r="AB6" s="90" t="str">
        <f>IFERROR(__xludf.DUMMYFUNCTION("""COMPUTED_VALUE"""),"SPEECH &amp; SONG MLM (1*3)")</f>
        <v>SPEECH &amp; SONG MLM (1*3)</v>
      </c>
      <c r="AC6" s="90" t="str">
        <f>IFERROR(__xludf.DUMMYFUNCTION("""COMPUTED_VALUE"""),"GROUP SONG (1*4)")</f>
        <v>GROUP SONG (1*4)</v>
      </c>
      <c r="AD6" s="90" t="str">
        <f>IFERROR(__xludf.DUMMYFUNCTION("""COMPUTED_VALUE"""),"SENTENCE TRANSLATION (2)")</f>
        <v>SENTENCE TRANSLATION (2)</v>
      </c>
      <c r="AE6" s="90" t="str">
        <f>IFERROR(__xludf.DUMMYFUNCTION("""COMPUTED_VALUE"""),"ACRYLIC PAINTING (2)")</f>
        <v>ACRYLIC PAINTING (2)</v>
      </c>
      <c r="AF6" s="90" t="str">
        <f>IFERROR(__xludf.DUMMYFUNCTION("""COMPUTED_VALUE"""),"ESSAY MLM (2)")</f>
        <v>ESSAY MLM (2)</v>
      </c>
      <c r="AG6" s="90" t="str">
        <f>IFERROR(__xludf.DUMMYFUNCTION("""COMPUTED_VALUE"""),"ESSAY ENG (2)")</f>
        <v>ESSAY ENG (2)</v>
      </c>
      <c r="AH6" s="90" t="str">
        <f>IFERROR(__xludf.DUMMYFUNCTION("""COMPUTED_VALUE"""),"ESSAY ARB (2)")</f>
        <v>ESSAY ARB (2)</v>
      </c>
      <c r="AI6" s="90" t="str">
        <f>IFERROR(__xludf.DUMMYFUNCTION("""COMPUTED_VALUE"""),"ESSAY URD (2)")</f>
        <v>ESSAY URD (2)</v>
      </c>
      <c r="AJ6" s="90" t="str">
        <f>IFERROR(__xludf.DUMMYFUNCTION("""COMPUTED_VALUE"""),"ESSAY HINDI (2)")</f>
        <v>ESSAY HINDI (2)</v>
      </c>
      <c r="AK6" s="90" t="str">
        <f>IFERROR(__xludf.DUMMYFUNCTION("""COMPUTED_VALUE"""),"POEM MLM (2)")</f>
        <v>POEM MLM (2)</v>
      </c>
      <c r="AL6" s="90" t="str">
        <f>IFERROR(__xludf.DUMMYFUNCTION("""COMPUTED_VALUE"""),"POEM ENG (2)")</f>
        <v>POEM ENG (2)</v>
      </c>
      <c r="AM6" s="90" t="str">
        <f>IFERROR(__xludf.DUMMYFUNCTION("""COMPUTED_VALUE"""),"POEM ARB (2)")</f>
        <v>POEM ARB (2)</v>
      </c>
      <c r="AN6" s="90" t="str">
        <f>IFERROR(__xludf.DUMMYFUNCTION("""COMPUTED_VALUE"""),"POEM URD (2)")</f>
        <v>POEM URD (2)</v>
      </c>
      <c r="AO6" s="90" t="str">
        <f>IFERROR(__xludf.DUMMYFUNCTION("""COMPUTED_VALUE"""),"SHORT STORY MLM (2)")</f>
        <v>SHORT STORY MLM (2)</v>
      </c>
      <c r="AP6" s="90" t="str">
        <f>IFERROR(__xludf.DUMMYFUNCTION("""COMPUTED_VALUE"""),"SHORT STORY ENG (2)")</f>
        <v>SHORT STORY ENG (2)</v>
      </c>
      <c r="AQ6" s="90" t="str">
        <f>IFERROR(__xludf.DUMMYFUNCTION("""COMPUTED_VALUE"""),"SHORT STORY ARB (2)")</f>
        <v>SHORT STORY ARB (2)</v>
      </c>
      <c r="AR6" s="90" t="str">
        <f>IFERROR(__xludf.DUMMYFUNCTION("""COMPUTED_VALUE"""),"SHORT STORY URD (2)")</f>
        <v>SHORT STORY URD (2)</v>
      </c>
      <c r="AS6" s="90" t="str">
        <f>IFERROR(__xludf.DUMMYFUNCTION("""COMPUTED_VALUE"""),"TEXT TORNADO (2)")</f>
        <v>TEXT TORNADO (2)</v>
      </c>
      <c r="AT6" s="90" t="str">
        <f>IFERROR(__xludf.DUMMYFUNCTION("""COMPUTED_VALUE"""),"CARTOON (2)")</f>
        <v>CARTOON (2)</v>
      </c>
      <c r="AU6" s="90" t="str">
        <f>IFERROR(__xludf.DUMMYFUNCTION("""COMPUTED_VALUE"""),"DICTIONARY MAKING HINDI (2)")</f>
        <v>DICTIONARY MAKING HINDI (2)</v>
      </c>
      <c r="AV6" s="90" t="str">
        <f>IFERROR(__xludf.DUMMYFUNCTION("""COMPUTED_VALUE"""),"EXCEL MASTER (2)")</f>
        <v>EXCEL MASTER (2)</v>
      </c>
      <c r="AW6" s="90" t="str">
        <f>IFERROR(__xludf.DUMMYFUNCTION("""COMPUTED_VALUE"""),"POSTER DESIGNING (2)")</f>
        <v>POSTER DESIGNING (2)</v>
      </c>
      <c r="AX6" s="90" t="str">
        <f>IFERROR(__xludf.DUMMYFUNCTION("""COMPUTED_VALUE"""),"VIDEO EDITING (2)")</f>
        <v>VIDEO EDITING (2)</v>
      </c>
      <c r="AY6" s="90" t="str">
        <f>IFERROR(__xludf.DUMMYFUNCTION("""COMPUTED_VALUE"""),"IMAGE ELABORATION ENG (2)")</f>
        <v>IMAGE ELABORATION ENG (2)</v>
      </c>
      <c r="AZ6" s="90" t="str">
        <f>IFERROR(__xludf.DUMMYFUNCTION("""COMPUTED_VALUE"""),"INSTANT CHILDREN'S MAGAZINE MLM (1*5)")</f>
        <v>INSTANT CHILDREN'S MAGAZINE MLM (1*5)</v>
      </c>
      <c r="BA6" s="90" t="str">
        <f>IFERROR(__xludf.DUMMYFUNCTION("""COMPUTED_VALUE"""),"INSTANT NEWSPAPER MLM (1*5)")</f>
        <v>INSTANT NEWSPAPER MLM (1*5)</v>
      </c>
      <c r="BB6" s="90" t="str">
        <f>IFERROR(__xludf.DUMMYFUNCTION("""COMPUTED_VALUE"""),"200M Running (2)")</f>
        <v>200M Running (2)</v>
      </c>
      <c r="BC6" s="90" t="str">
        <f>IFERROR(__xludf.DUMMYFUNCTION("""COMPUTED_VALUE"""),"Long Jump (2)")</f>
        <v>Long Jump (2)</v>
      </c>
      <c r="BD6" s="90" t="str">
        <f>IFERROR(__xludf.DUMMYFUNCTION("""COMPUTED_VALUE"""),"4 × 100M Relay (2)")</f>
        <v>4 × 100M Relay (2)</v>
      </c>
      <c r="BE6" s="90" t="str">
        <f>IFERROR(__xludf.DUMMYFUNCTION("""COMPUTED_VALUE"""),"Sack Race (2)")</f>
        <v>Sack Race (2)</v>
      </c>
      <c r="BF6" s="90" t="str">
        <f>IFERROR(__xludf.DUMMYFUNCTION("""COMPUTED_VALUE"""),"Shootout (2)")</f>
        <v>Shootout (2)</v>
      </c>
      <c r="BG6" s="90" t="str">
        <f>IFERROR(__xludf.DUMMYFUNCTION("""COMPUTED_VALUE"""),"Badminton (2)")</f>
        <v>Badminton (2)</v>
      </c>
      <c r="BH6" s="90" t="str">
        <f>IFERROR(__xludf.DUMMYFUNCTION("""COMPUTED_VALUE"""),"Plank (2)")</f>
        <v>Plank (2)</v>
      </c>
      <c r="BI6" s="90" t="str">
        <f>IFERROR(__xludf.DUMMYFUNCTION("""COMPUTED_VALUE"""),"Juggling (2)")</f>
        <v>Juggling (2)</v>
      </c>
      <c r="BJ6" s="90" t="str">
        <f>IFERROR(__xludf.DUMMYFUNCTION("""COMPUTED_VALUE"""),"Throw to stump (2)")</f>
        <v>Throw to stump (2)</v>
      </c>
      <c r="BK6" s="90" t="str">
        <f>IFERROR(__xludf.DUMMYFUNCTION("""COMPUTED_VALUE"""),"Pot breaking (2)")</f>
        <v>Pot breaking (2)</v>
      </c>
      <c r="BL6" s="90" t="str">
        <f>IFERROR(__xludf.DUMMYFUNCTION("""COMPUTED_VALUE"""),"Slow Race (2)")</f>
        <v>Slow Race (2)</v>
      </c>
      <c r="BM6" s="90" t="str">
        <f>IFERROR(__xludf.DUMMYFUNCTION("""COMPUTED_VALUE"""),"Water Filling Group (2)")</f>
        <v>Water Filling Group (2)</v>
      </c>
      <c r="BN6" s="90" t="str">
        <f>IFERROR(__xludf.DUMMYFUNCTION("""COMPUTED_VALUE"""),"Arm wrestling (2)")</f>
        <v>Arm wrestling (2)</v>
      </c>
      <c r="BO6" s="90" t="str">
        <f>IFERROR(__xludf.DUMMYFUNCTION("""COMPUTED_VALUE"""),"Footsall (1*4)")</f>
        <v>Footsall (1*4)</v>
      </c>
      <c r="BP6" s="90"/>
      <c r="BQ6" s="90"/>
      <c r="BR6" s="90"/>
      <c r="BS6" s="90"/>
      <c r="BT6" s="90"/>
      <c r="BU6" s="90"/>
      <c r="BV6" s="90"/>
      <c r="BW6" s="90"/>
      <c r="BX6" s="90"/>
      <c r="BY6" s="90"/>
      <c r="BZ6" s="90"/>
      <c r="CA6" s="90"/>
      <c r="CB6" s="90"/>
      <c r="CC6" s="90"/>
      <c r="CD6" s="90"/>
      <c r="CE6" s="90"/>
      <c r="CF6" s="90"/>
      <c r="CG6" s="90"/>
      <c r="CH6" s="90"/>
      <c r="CI6" s="90"/>
      <c r="CJ6" s="90"/>
      <c r="CK6" s="90"/>
    </row>
    <row r="7">
      <c r="A7" s="75">
        <f>IFERROR(__xludf.DUMMYFUNCTION("IFERROR(FILTER({'MASTER LIST'!$A$2:$E$294, 'MASTER LIST'!$M$2:$M$294}, 'MASTER LIST'!$D$2:$D$294=$B$1, 'MASTER LIST'!$E$2:$E$294=$B$3, 'MASTER LIST'!$F$2:$F$294=""Active""), {""No students found"", """", """", """", """", """"})"),290.0)</f>
        <v>290</v>
      </c>
      <c r="B7" s="75" t="str">
        <f>IFERROR(__xludf.DUMMYFUNCTION("""COMPUTED_VALUE"""),"AHAMMED RAZAN K")</f>
        <v>AHAMMED RAZAN K</v>
      </c>
      <c r="C7" s="75">
        <f>IFERROR(__xludf.DUMMYFUNCTION("""COMPUTED_VALUE"""),5.0)</f>
        <v>5</v>
      </c>
      <c r="D7" s="75" t="str">
        <f>IFERROR(__xludf.DUMMYFUNCTION("""COMPUTED_VALUE"""),"THĀNIYAH")</f>
        <v>THĀNIYAH</v>
      </c>
      <c r="E7" s="75" t="str">
        <f>IFERROR(__xludf.DUMMYFUNCTION("""COMPUTED_VALUE"""),"TEAM C")</f>
        <v>TEAM C</v>
      </c>
      <c r="F7" s="75" t="str">
        <f>IFERROR(__xludf.DUMMYFUNCTION("""COMPUTED_VALUE"""),"Min 1 Required (Stage &amp; Non-Stage)")</f>
        <v>Min 1 Required (Stage &amp; Non-Stage)</v>
      </c>
      <c r="G7" s="91" t="str">
        <f>IFERROR(__xludf.DUMMYFUNCTION("IF(OR($A7="""", G$5=""""), """", IF(ISNUMBER(MATCH(G$5, IFERROR(FILTER('MASTER LIST'!$N$2:$W$294, 'MASTER LIST'!$A$2:$A$294=$A7), """"), 0)), ""Y"", """"))"),"")</f>
        <v/>
      </c>
      <c r="H7" s="92" t="str">
        <f>IFERROR(__xludf.DUMMYFUNCTION("IF(OR($A7="""", H$5=""""), """", IF(ISNUMBER(MATCH(H$5, IFERROR(FILTER('MASTER LIST'!$N$2:$AB$294, 'MASTER LIST'!$A$2:$A$294=$A7), """"), 0)), ""Y"", """"))"),"")</f>
        <v/>
      </c>
      <c r="I7" s="91" t="str">
        <f>IFERROR(__xludf.DUMMYFUNCTION("IF(OR($A7="""", I$5=""""), """", IF(ISNUMBER(MATCH(I$5, IFERROR(FILTER('MASTER LIST'!$N$2:$AB$294, 'MASTER LIST'!$A$2:$A$294=$A7), """"), 0)), ""Y"", """"))"),"")</f>
        <v/>
      </c>
      <c r="J7" s="92" t="str">
        <f>IFERROR(__xludf.DUMMYFUNCTION("IF(OR($A7="""", J$5=""""), """", IF(ISNUMBER(MATCH(J$5, IFERROR(FILTER('MASTER LIST'!$N$2:$AB$294, 'MASTER LIST'!$A$2:$A$294=$A7), """"), 0)), ""Y"", """"))"),"")</f>
        <v/>
      </c>
      <c r="K7" s="92" t="str">
        <f>IFERROR(__xludf.DUMMYFUNCTION("IF(OR($A7="""", K$5=""""), """", IF(ISNUMBER(MATCH(K$5, IFERROR(FILTER('MASTER LIST'!$N$2:$AB$294, 'MASTER LIST'!$A$2:$A$294=$A7), """"), 0)), ""Y"", """"))"),"")</f>
        <v/>
      </c>
      <c r="L7" s="91" t="str">
        <f>IFERROR(__xludf.DUMMYFUNCTION("IF(OR($A7="""", L$5=""""), """", IF(ISNUMBER(MATCH(L$5, IFERROR(FILTER('MASTER LIST'!$N$2:$AB$294, 'MASTER LIST'!$A$2:$A$294=$A7), """"), 0)), ""Y"", """"))"),"")</f>
        <v/>
      </c>
      <c r="M7" s="92" t="str">
        <f>IFERROR(__xludf.DUMMYFUNCTION("IF(OR($A7="""", M$5=""""), """", IF(ISNUMBER(MATCH(M$5, IFERROR(FILTER('MASTER LIST'!$N$2:$AB$294, 'MASTER LIST'!$A$2:$A$294=$A7), """"), 0)), ""Y"", """"))"),"")</f>
        <v/>
      </c>
      <c r="N7" s="92" t="str">
        <f>IFERROR(__xludf.DUMMYFUNCTION("IF(OR($A7="""", N$5=""""), """", IF(ISNUMBER(MATCH(N$5, IFERROR(FILTER('MASTER LIST'!$N$2:$AB$294, 'MASTER LIST'!$A$2:$A$294=$A7), """"), 0)), ""Y"", """"))"),"")</f>
        <v/>
      </c>
      <c r="O7" s="92" t="str">
        <f>IFERROR(__xludf.DUMMYFUNCTION("IF(OR($A7="""", O$5=""""), """", IF(ISNUMBER(MATCH(O$5, IFERROR(FILTER('MASTER LIST'!$N$2:$AB$294, 'MASTER LIST'!$A$2:$A$294=$A7), """"), 0)), ""Y"", """"))"),"")</f>
        <v/>
      </c>
      <c r="P7" s="92" t="str">
        <f>IFERROR(__xludf.DUMMYFUNCTION("IF(OR($A7="""", P$5=""""), """", IF(ISNUMBER(MATCH(P$5, IFERROR(FILTER('MASTER LIST'!$N$2:$AB$294, 'MASTER LIST'!$A$2:$A$294=$A7), """"), 0)), ""Y"", """"))"),"")</f>
        <v/>
      </c>
      <c r="Q7" s="92" t="str">
        <f>IFERROR(__xludf.DUMMYFUNCTION("IF(OR($A7="""", Q$5=""""), """", IF(ISNUMBER(MATCH(Q$5, IFERROR(FILTER('MASTER LIST'!$N$2:$AB$294, 'MASTER LIST'!$A$2:$A$294=$A7), """"), 0)), ""Y"", """"))"),"")</f>
        <v/>
      </c>
      <c r="R7" s="92" t="str">
        <f>IFERROR(__xludf.DUMMYFUNCTION("IF(OR($A7="""", R$5=""""), """", IF(ISNUMBER(MATCH(R$5, IFERROR(FILTER('MASTER LIST'!$N$2:$AB$294, 'MASTER LIST'!$A$2:$A$294=$A7), """"), 0)), ""Y"", """"))"),"")</f>
        <v/>
      </c>
      <c r="S7" s="92" t="str">
        <f>IFERROR(__xludf.DUMMYFUNCTION("IF(OR($A7="""", S$5=""""), """", IF(ISNUMBER(MATCH(S$5, IFERROR(FILTER('MASTER LIST'!$N$2:$AB$294, 'MASTER LIST'!$A$2:$A$294=$A7), """"), 0)), ""Y"", """"))"),"")</f>
        <v/>
      </c>
      <c r="T7" s="92" t="str">
        <f>IFERROR(__xludf.DUMMYFUNCTION("IF(OR($A7="""", T$5=""""), """", IF(ISNUMBER(MATCH(T$5, IFERROR(FILTER('MASTER LIST'!$N$2:$AB$294, 'MASTER LIST'!$A$2:$A$294=$A7), """"), 0)), ""Y"", """"))"),"")</f>
        <v/>
      </c>
      <c r="U7" s="92" t="str">
        <f>IFERROR(__xludf.DUMMYFUNCTION("IF(OR($A7="""", U$5=""""), """", IF(ISNUMBER(MATCH(U$5, IFERROR(FILTER('MASTER LIST'!$N$2:$AB$294, 'MASTER LIST'!$A$2:$A$294=$A7), """"), 0)), ""Y"", """"))"),"")</f>
        <v/>
      </c>
      <c r="V7" s="92" t="str">
        <f>IFERROR(__xludf.DUMMYFUNCTION("IF(OR($A7="""", V$5=""""), """", IF(ISNUMBER(MATCH(V$5, IFERROR(FILTER('MASTER LIST'!$N$2:$AB$294, 'MASTER LIST'!$A$2:$A$294=$A7), """"), 0)), ""Y"", """"))"),"")</f>
        <v/>
      </c>
      <c r="W7" s="92" t="str">
        <f>IFERROR(__xludf.DUMMYFUNCTION("IF(OR($A7="""", W$5=""""), """", IF(ISNUMBER(MATCH(W$5, IFERROR(FILTER('MASTER LIST'!$N$2:$AB$294, 'MASTER LIST'!$A$2:$A$294=$A7), """"), 0)), ""Y"", """"))"),"")</f>
        <v/>
      </c>
      <c r="X7" s="92" t="str">
        <f>IFERROR(__xludf.DUMMYFUNCTION("IF(OR($A7="""", X$5=""""), """", IF(ISNUMBER(MATCH(X$5, IFERROR(FILTER('MASTER LIST'!$N$2:$AB$294, 'MASTER LIST'!$A$2:$A$294=$A7), """"), 0)), ""Y"", """"))"),"")</f>
        <v/>
      </c>
      <c r="Y7" s="92" t="str">
        <f>IFERROR(__xludf.DUMMYFUNCTION("IF(OR($A7="""", Y$5=""""), """", IF(ISNUMBER(MATCH(Y$5, IFERROR(FILTER('MASTER LIST'!$N$2:$AB$294, 'MASTER LIST'!$A$2:$A$294=$A7), """"), 0)), ""Y"", """"))"),"")</f>
        <v/>
      </c>
      <c r="Z7" s="92" t="str">
        <f>IFERROR(__xludf.DUMMYFUNCTION("IF(OR($A7="""", Z$5=""""), """", IF(ISNUMBER(MATCH(Z$5, IFERROR(FILTER('MASTER LIST'!$N$2:$AB$294, 'MASTER LIST'!$A$2:$A$294=$A7), """"), 0)), ""Y"", """"))"),"")</f>
        <v/>
      </c>
      <c r="AA7" s="92" t="str">
        <f>IFERROR(__xludf.DUMMYFUNCTION("IF(OR($A7="""", AA$5=""""), """", IF(ISNUMBER(MATCH(AA$5, IFERROR(FILTER('MASTER LIST'!$N$2:$AB$294, 'MASTER LIST'!$A$2:$A$294=$A7), """"), 0)), ""Y"", """"))"),"")</f>
        <v/>
      </c>
      <c r="AB7" s="92" t="str">
        <f>IFERROR(__xludf.DUMMYFUNCTION("IF(OR($A7="""", AB$5=""""), """", IF(ISNUMBER(MATCH(AB$5, IFERROR(FILTER('MASTER LIST'!$N$2:$AB$294, 'MASTER LIST'!$A$2:$A$294=$A7), """"), 0)), ""Y"", """"))"),"")</f>
        <v/>
      </c>
      <c r="AC7" s="92" t="str">
        <f>IFERROR(__xludf.DUMMYFUNCTION("IF(OR($A7="""", AC$5=""""), """", IF(ISNUMBER(MATCH(AC$5, IFERROR(FILTER('MASTER LIST'!$N$2:$AB$294, 'MASTER LIST'!$A$2:$A$294=$A7), """"), 0)), ""Y"", """"))"),"")</f>
        <v/>
      </c>
      <c r="AD7" s="92" t="str">
        <f>IFERROR(__xludf.DUMMYFUNCTION("IF(OR($A7="""", AD$5=""""), """", IF(ISNUMBER(MATCH(AD$5, IFERROR(FILTER('MASTER LIST'!$N$2:$AB$294, 'MASTER LIST'!$A$2:$A$294=$A7), """"), 0)), ""Y"", """"))"),"")</f>
        <v/>
      </c>
      <c r="AE7" s="92" t="str">
        <f>IFERROR(__xludf.DUMMYFUNCTION("IF(OR($A7="""", AE$5=""""), """", IF(ISNUMBER(MATCH(AE$5, IFERROR(FILTER('MASTER LIST'!$N$2:$AB$294, 'MASTER LIST'!$A$2:$A$294=$A7), """"), 0)), ""Y"", """"))"),"")</f>
        <v/>
      </c>
      <c r="AF7" s="92" t="str">
        <f>IFERROR(__xludf.DUMMYFUNCTION("IF(OR($A7="""", AF$5=""""), """", IF(ISNUMBER(MATCH(AF$5, IFERROR(FILTER('MASTER LIST'!$N$2:$AB$294, 'MASTER LIST'!$A$2:$A$294=$A7), """"), 0)), ""Y"", """"))"),"")</f>
        <v/>
      </c>
      <c r="AG7" s="92" t="str">
        <f>IFERROR(__xludf.DUMMYFUNCTION("IF(OR($A7="""", AG$5=""""), """", IF(ISNUMBER(MATCH(AG$5, IFERROR(FILTER('MASTER LIST'!$N$2:$AB$294, 'MASTER LIST'!$A$2:$A$294=$A7), """"), 0)), ""Y"", """"))"),"")</f>
        <v/>
      </c>
      <c r="AH7" s="92" t="str">
        <f>IFERROR(__xludf.DUMMYFUNCTION("IF(OR($A7="""", AH$5=""""), """", IF(ISNUMBER(MATCH(AH$5, IFERROR(FILTER('MASTER LIST'!$N$2:$AB$294, 'MASTER LIST'!$A$2:$A$294=$A7), """"), 0)), ""Y"", """"))"),"")</f>
        <v/>
      </c>
      <c r="AI7" s="92" t="str">
        <f>IFERROR(__xludf.DUMMYFUNCTION("IF(OR($A7="""", AI$5=""""), """", IF(ISNUMBER(MATCH(AI$5, IFERROR(FILTER('MASTER LIST'!$N$2:$AB$294, 'MASTER LIST'!$A$2:$A$294=$A7), """"), 0)), ""Y"", """"))"),"")</f>
        <v/>
      </c>
      <c r="AJ7" s="92" t="str">
        <f>IFERROR(__xludf.DUMMYFUNCTION("IF(OR($A7="""", AJ$5=""""), """", IF(ISNUMBER(MATCH(AJ$5, IFERROR(FILTER('MASTER LIST'!$N$2:$AB$294, 'MASTER LIST'!$A$2:$A$294=$A7), """"), 0)), ""Y"", """"))"),"")</f>
        <v/>
      </c>
      <c r="AK7" s="92" t="str">
        <f>IFERROR(__xludf.DUMMYFUNCTION("IF(OR($A7="""", AK$5=""""), """", IF(ISNUMBER(MATCH(AK$5, IFERROR(FILTER('MASTER LIST'!$N$2:$AB$294, 'MASTER LIST'!$A$2:$A$294=$A7), """"), 0)), ""Y"", """"))"),"")</f>
        <v/>
      </c>
      <c r="AL7" s="92" t="str">
        <f>IFERROR(__xludf.DUMMYFUNCTION("IF(OR($A7="""", AL$5=""""), """", IF(ISNUMBER(MATCH(AL$5, IFERROR(FILTER('MASTER LIST'!$N$2:$AB$294, 'MASTER LIST'!$A$2:$A$294=$A7), """"), 0)), ""Y"", """"))"),"")</f>
        <v/>
      </c>
      <c r="AM7" s="92" t="str">
        <f>IFERROR(__xludf.DUMMYFUNCTION("IF(OR($A7="""", AM$5=""""), """", IF(ISNUMBER(MATCH(AM$5, IFERROR(FILTER('MASTER LIST'!$N$2:$AB$294, 'MASTER LIST'!$A$2:$A$294=$A7), """"), 0)), ""Y"", """"))"),"")</f>
        <v/>
      </c>
      <c r="AN7" s="92" t="str">
        <f>IFERROR(__xludf.DUMMYFUNCTION("IF(OR($A7="""", AN$5=""""), """", IF(ISNUMBER(MATCH(AN$5, IFERROR(FILTER('MASTER LIST'!$N$2:$AB$294, 'MASTER LIST'!$A$2:$A$294=$A7), """"), 0)), ""Y"", """"))"),"")</f>
        <v/>
      </c>
      <c r="AO7" s="92" t="str">
        <f>IFERROR(__xludf.DUMMYFUNCTION("IF(OR($A7="""", AO$5=""""), """", IF(ISNUMBER(MATCH(AO$5, IFERROR(FILTER('MASTER LIST'!$N$2:$AB$294, 'MASTER LIST'!$A$2:$A$294=$A7), """"), 0)), ""Y"", """"))"),"")</f>
        <v/>
      </c>
      <c r="AP7" s="92" t="str">
        <f>IFERROR(__xludf.DUMMYFUNCTION("IF(OR($A7="""", AP$5=""""), """", IF(ISNUMBER(MATCH(AP$5, IFERROR(FILTER('MASTER LIST'!$N$2:$AB$294, 'MASTER LIST'!$A$2:$A$294=$A7), """"), 0)), ""Y"", """"))"),"")</f>
        <v/>
      </c>
      <c r="AQ7" s="92" t="str">
        <f>IFERROR(__xludf.DUMMYFUNCTION("IF(OR($A7="""", AQ$5=""""), """", IF(ISNUMBER(MATCH(AQ$5, IFERROR(FILTER('MASTER LIST'!$N$2:$AB$294, 'MASTER LIST'!$A$2:$A$294=$A7), """"), 0)), ""Y"", """"))"),"")</f>
        <v/>
      </c>
      <c r="AR7" s="92" t="str">
        <f>IFERROR(__xludf.DUMMYFUNCTION("IF(OR($A7="""", AR$5=""""), """", IF(ISNUMBER(MATCH(AR$5, IFERROR(FILTER('MASTER LIST'!$N$2:$AB$294, 'MASTER LIST'!$A$2:$A$294=$A7), """"), 0)), ""Y"", """"))"),"")</f>
        <v/>
      </c>
      <c r="AS7" s="92" t="str">
        <f>IFERROR(__xludf.DUMMYFUNCTION("IF(OR($A7="""", AS$5=""""), """", IF(ISNUMBER(MATCH(AS$5, IFERROR(FILTER('MASTER LIST'!$N$2:$AB$294, 'MASTER LIST'!$A$2:$A$294=$A7), """"), 0)), ""Y"", """"))"),"")</f>
        <v/>
      </c>
      <c r="AT7" s="92" t="str">
        <f>IFERROR(__xludf.DUMMYFUNCTION("IF(OR($A7="""", AT$5=""""), """", IF(ISNUMBER(MATCH(AT$5, IFERROR(FILTER('MASTER LIST'!$N$2:$AB$294, 'MASTER LIST'!$A$2:$A$294=$A7), """"), 0)), ""Y"", """"))"),"")</f>
        <v/>
      </c>
      <c r="AU7" s="92" t="str">
        <f>IFERROR(__xludf.DUMMYFUNCTION("IF(OR($A7="""", AU$5=""""), """", IF(ISNUMBER(MATCH(AU$5, IFERROR(FILTER('MASTER LIST'!$N$2:$AB$294, 'MASTER LIST'!$A$2:$A$294=$A7), """"), 0)), ""Y"", """"))"),"")</f>
        <v/>
      </c>
      <c r="AV7" s="92" t="str">
        <f>IFERROR(__xludf.DUMMYFUNCTION("IF(OR($A7="""", AV$5=""""), """", IF(ISNUMBER(MATCH(AV$5, IFERROR(FILTER('MASTER LIST'!$N$2:$AB$294, 'MASTER LIST'!$A$2:$A$294=$A7), """"), 0)), ""Y"", """"))"),"")</f>
        <v/>
      </c>
      <c r="AW7" s="92" t="str">
        <f>IFERROR(__xludf.DUMMYFUNCTION("IF(OR($A7="""", AW$5=""""), """", IF(ISNUMBER(MATCH(AW$5, IFERROR(FILTER('MASTER LIST'!$N$2:$AB$294, 'MASTER LIST'!$A$2:$A$294=$A7), """"), 0)), ""Y"", """"))"),"")</f>
        <v/>
      </c>
      <c r="AX7" s="92" t="str">
        <f>IFERROR(__xludf.DUMMYFUNCTION("IF(OR($A7="""", AX$5=""""), """", IF(ISNUMBER(MATCH(AX$5, IFERROR(FILTER('MASTER LIST'!$N$2:$AB$294, 'MASTER LIST'!$A$2:$A$294=$A7), """"), 0)), ""Y"", """"))"),"")</f>
        <v/>
      </c>
      <c r="AY7" s="92" t="str">
        <f>IFERROR(__xludf.DUMMYFUNCTION("IF(OR($A7="""", AY$5=""""), """", IF(ISNUMBER(MATCH(AY$5, IFERROR(FILTER('MASTER LIST'!$N$2:$AB$294, 'MASTER LIST'!$A$2:$A$294=$A7), """"), 0)), ""Y"", """"))"),"")</f>
        <v/>
      </c>
      <c r="AZ7" s="92" t="str">
        <f>IFERROR(__xludf.DUMMYFUNCTION("IF(OR($A7="""", AZ$5=""""), """", IF(ISNUMBER(MATCH(AZ$5, IFERROR(FILTER('MASTER LIST'!$N$2:$AB$294, 'MASTER LIST'!$A$2:$A$294=$A7), """"), 0)), ""Y"", """"))"),"")</f>
        <v/>
      </c>
      <c r="BA7" s="92" t="str">
        <f>IFERROR(__xludf.DUMMYFUNCTION("IF(OR($A7="""", BA$5=""""), """", IF(ISNUMBER(MATCH(BA$5, IFERROR(FILTER('MASTER LIST'!$N$2:$AB$294, 'MASTER LIST'!$A$2:$A$294=$A7), """"), 0)), ""Y"", """"))"),"")</f>
        <v/>
      </c>
      <c r="BB7" s="92" t="str">
        <f>IFERROR(__xludf.DUMMYFUNCTION("IF(OR($A7="""", BB$5=""""), """", IF(ISNUMBER(MATCH(BB$5, IFERROR(FILTER('MASTER LIST'!$N$2:$AB$294, 'MASTER LIST'!$A$2:$A$294=$A7), """"), 0)), ""Y"", """"))"),"")</f>
        <v/>
      </c>
      <c r="BC7" s="92" t="str">
        <f>IFERROR(__xludf.DUMMYFUNCTION("IF(OR($A7="""", BC$5=""""), """", IF(ISNUMBER(MATCH(BC$5, IFERROR(FILTER('MASTER LIST'!$N$2:$AB$294, 'MASTER LIST'!$A$2:$A$294=$A7), """"), 0)), ""Y"", """"))"),"")</f>
        <v/>
      </c>
      <c r="BD7" s="92" t="str">
        <f>IFERROR(__xludf.DUMMYFUNCTION("IF(OR($A7="""", BD$5=""""), """", IF(ISNUMBER(MATCH(BD$5, IFERROR(FILTER('MASTER LIST'!$N$2:$AB$294, 'MASTER LIST'!$A$2:$A$294=$A7), """"), 0)), ""Y"", """"))"),"")</f>
        <v/>
      </c>
      <c r="BE7" s="92" t="str">
        <f>IFERROR(__xludf.DUMMYFUNCTION("IF(OR($A7="""", BE$5=""""), """", IF(ISNUMBER(MATCH(BE$5, IFERROR(FILTER('MASTER LIST'!$N$2:$AB$294, 'MASTER LIST'!$A$2:$A$294=$A7), """"), 0)), ""Y"", """"))"),"")</f>
        <v/>
      </c>
      <c r="BF7" s="92" t="str">
        <f>IFERROR(__xludf.DUMMYFUNCTION("IF(OR($A7="""", BF$5=""""), """", IF(ISNUMBER(MATCH(BF$5, IFERROR(FILTER('MASTER LIST'!$N$2:$AB$294, 'MASTER LIST'!$A$2:$A$294=$A7), """"), 0)), ""Y"", """"))"),"")</f>
        <v/>
      </c>
      <c r="BG7" s="92" t="str">
        <f>IFERROR(__xludf.DUMMYFUNCTION("IF(OR($A7="""", BG$5=""""), """", IF(ISNUMBER(MATCH(BG$5, IFERROR(FILTER('MASTER LIST'!$N$2:$AB$294, 'MASTER LIST'!$A$2:$A$294=$A7), """"), 0)), ""Y"", """"))"),"")</f>
        <v/>
      </c>
      <c r="BH7" s="92" t="str">
        <f>IFERROR(__xludf.DUMMYFUNCTION("IF(OR($A7="""", BH$5=""""), """", IF(ISNUMBER(MATCH(BH$5, IFERROR(FILTER('MASTER LIST'!$N$2:$AB$294, 'MASTER LIST'!$A$2:$A$294=$A7), """"), 0)), ""Y"", """"))"),"")</f>
        <v/>
      </c>
      <c r="BI7" s="92" t="str">
        <f>IFERROR(__xludf.DUMMYFUNCTION("IF(OR($A7="""", BI$5=""""), """", IF(ISNUMBER(MATCH(BI$5, IFERROR(FILTER('MASTER LIST'!$N$2:$AB$294, 'MASTER LIST'!$A$2:$A$294=$A7), """"), 0)), ""Y"", """"))"),"")</f>
        <v/>
      </c>
      <c r="BJ7" s="92" t="str">
        <f>IFERROR(__xludf.DUMMYFUNCTION("IF(OR($A7="""", BJ$5=""""), """", IF(ISNUMBER(MATCH(BJ$5, IFERROR(FILTER('MASTER LIST'!$N$2:$AB$294, 'MASTER LIST'!$A$2:$A$294=$A7), """"), 0)), ""Y"", """"))"),"")</f>
        <v/>
      </c>
      <c r="BK7" s="92" t="str">
        <f>IFERROR(__xludf.DUMMYFUNCTION("IF(OR($A7="""", BK$5=""""), """", IF(ISNUMBER(MATCH(BK$5, IFERROR(FILTER('MASTER LIST'!$N$2:$AB$294, 'MASTER LIST'!$A$2:$A$294=$A7), """"), 0)), ""Y"", """"))"),"")</f>
        <v/>
      </c>
      <c r="BL7" s="92" t="str">
        <f>IFERROR(__xludf.DUMMYFUNCTION("IF(OR($A7="""", BL$5=""""), """", IF(ISNUMBER(MATCH(BL$5, IFERROR(FILTER('MASTER LIST'!$N$2:$AB$294, 'MASTER LIST'!$A$2:$A$294=$A7), """"), 0)), ""Y"", """"))"),"")</f>
        <v/>
      </c>
      <c r="BM7" s="92" t="str">
        <f>IFERROR(__xludf.DUMMYFUNCTION("IF(OR($A7="""", BM$5=""""), """", IF(ISNUMBER(MATCH(BM$5, IFERROR(FILTER('MASTER LIST'!$N$2:$AB$294, 'MASTER LIST'!$A$2:$A$294=$A7), """"), 0)), ""Y"", """"))"),"")</f>
        <v/>
      </c>
      <c r="BN7" s="92" t="str">
        <f>IFERROR(__xludf.DUMMYFUNCTION("IF(OR($A7="""", BN$5=""""), """", IF(ISNUMBER(MATCH(BN$5, IFERROR(FILTER('MASTER LIST'!$N$2:$AB$294, 'MASTER LIST'!$A$2:$A$294=$A7), """"), 0)), ""Y"", """"))"),"")</f>
        <v/>
      </c>
      <c r="BO7" s="92" t="str">
        <f>IFERROR(__xludf.DUMMYFUNCTION("IF(OR($A7="""", BO$5=""""), """", IF(ISNUMBER(MATCH(BO$5, IFERROR(FILTER('MASTER LIST'!$N$2:$AB$294, 'MASTER LIST'!$A$2:$A$294=$A7), """"), 0)), ""Y"", """"))"),"")</f>
        <v/>
      </c>
      <c r="BP7" s="92" t="str">
        <f>IFERROR(__xludf.DUMMYFUNCTION("IF(OR($A7="""", BP$5=""""), """", IF(ISNUMBER(MATCH(BP$5, IFERROR(FILTER('MASTER LIST'!$N$2:$AB$294, 'MASTER LIST'!$A$2:$A$294=$A7), """"), 0)), ""Y"", """"))"),"")</f>
        <v/>
      </c>
      <c r="BQ7" s="92" t="str">
        <f>IFERROR(__xludf.DUMMYFUNCTION("IF(OR($A7="""", BQ$5=""""), """", IF(ISNUMBER(MATCH(BQ$5, IFERROR(FILTER('MASTER LIST'!$N$2:$AB$294, 'MASTER LIST'!$A$2:$A$294=$A7), """"), 0)), ""Y"", """"))"),"")</f>
        <v/>
      </c>
      <c r="BR7" s="92" t="str">
        <f>IFERROR(__xludf.DUMMYFUNCTION("IF(OR($A7="""", BR$5=""""), """", IF(ISNUMBER(MATCH(BR$5, IFERROR(FILTER('MASTER LIST'!$N$2:$AB$294, 'MASTER LIST'!$A$2:$A$294=$A7), """"), 0)), ""Y"", """"))"),"")</f>
        <v/>
      </c>
      <c r="BS7" s="92" t="str">
        <f>IFERROR(__xludf.DUMMYFUNCTION("IF(OR($A7="""", BS$5=""""), """", IF(ISNUMBER(MATCH(BS$5, IFERROR(FILTER('MASTER LIST'!$N$2:$AB$294, 'MASTER LIST'!$A$2:$A$294=$A7), """"), 0)), ""Y"", """"))"),"")</f>
        <v/>
      </c>
      <c r="BT7" s="92" t="str">
        <f>IFERROR(__xludf.DUMMYFUNCTION("IF(OR($A7="""", BT$5=""""), """", IF(ISNUMBER(MATCH(BT$5, IFERROR(FILTER('MASTER LIST'!$N$2:$AB$294, 'MASTER LIST'!$A$2:$A$294=$A7), """"), 0)), ""Y"", """"))"),"")</f>
        <v/>
      </c>
      <c r="BU7" s="92" t="str">
        <f>IFERROR(__xludf.DUMMYFUNCTION("IF(OR($A7="""", BU$5=""""), """", IF(ISNUMBER(MATCH(BU$5, IFERROR(FILTER('MASTER LIST'!$N$2:$AB$294, 'MASTER LIST'!$A$2:$A$294=$A7), """"), 0)), ""Y"", """"))"),"")</f>
        <v/>
      </c>
      <c r="BV7" s="92" t="str">
        <f>IFERROR(__xludf.DUMMYFUNCTION("IF(OR($A7="""", BV$5=""""), """", IF(ISNUMBER(MATCH(BV$5, IFERROR(FILTER('MASTER LIST'!$N$2:$AB$294, 'MASTER LIST'!$A$2:$A$294=$A7), """"), 0)), ""Y"", """"))"),"")</f>
        <v/>
      </c>
      <c r="BW7" s="92" t="str">
        <f>IFERROR(__xludf.DUMMYFUNCTION("IF(OR($A7="""", BW$5=""""), """", IF(ISNUMBER(MATCH(BW$5, IFERROR(FILTER('MASTER LIST'!$N$2:$AB$294, 'MASTER LIST'!$A$2:$A$294=$A7), """"), 0)), ""Y"", """"))"),"")</f>
        <v/>
      </c>
      <c r="BX7" s="92" t="str">
        <f>IFERROR(__xludf.DUMMYFUNCTION("IF(OR($A7="""", BX$5=""""), """", IF(ISNUMBER(MATCH(BX$5, IFERROR(FILTER('MASTER LIST'!$N$2:$AB$294, 'MASTER LIST'!$A$2:$A$294=$A7), """"), 0)), ""Y"", """"))"),"")</f>
        <v/>
      </c>
      <c r="BY7" s="92" t="str">
        <f>IFERROR(__xludf.DUMMYFUNCTION("IF(OR($A7="""", BY$5=""""), """", IF(ISNUMBER(MATCH(BY$5, IFERROR(FILTER('MASTER LIST'!$N$2:$AB$294, 'MASTER LIST'!$A$2:$A$294=$A7), """"), 0)), ""Y"", """"))"),"")</f>
        <v/>
      </c>
      <c r="BZ7" s="92" t="str">
        <f>IFERROR(__xludf.DUMMYFUNCTION("IF(OR($A7="""", BZ$5=""""), """", IF(ISNUMBER(MATCH(BZ$5, IFERROR(FILTER('MASTER LIST'!$N$2:$AB$294, 'MASTER LIST'!$A$2:$A$294=$A7), """"), 0)), ""Y"", """"))"),"")</f>
        <v/>
      </c>
      <c r="CA7" s="92" t="str">
        <f>IFERROR(__xludf.DUMMYFUNCTION("IF(OR($A7="""", CA$5=""""), """", IF(ISNUMBER(MATCH(CA$5, IFERROR(FILTER('MASTER LIST'!$N$2:$AB$294, 'MASTER LIST'!$A$2:$A$294=$A7), """"), 0)), ""Y"", """"))"),"")</f>
        <v/>
      </c>
      <c r="CB7" s="92" t="str">
        <f>IFERROR(__xludf.DUMMYFUNCTION("IF(OR($A7="""", CB$5=""""), """", IF(ISNUMBER(MATCH(CB$5, IFERROR(FILTER('MASTER LIST'!$N$2:$AB$294, 'MASTER LIST'!$A$2:$A$294=$A7), """"), 0)), ""Y"", """"))"),"")</f>
        <v/>
      </c>
      <c r="CC7" s="92"/>
      <c r="CD7" s="92"/>
      <c r="CE7" s="92"/>
      <c r="CF7" s="92"/>
      <c r="CG7" s="92"/>
      <c r="CH7" s="92"/>
      <c r="CI7" s="92"/>
      <c r="CJ7" s="92"/>
      <c r="CK7" s="92"/>
    </row>
    <row r="8">
      <c r="A8" s="75">
        <f>IFERROR(__xludf.DUMMYFUNCTION("""COMPUTED_VALUE"""),251.0)</f>
        <v>251</v>
      </c>
      <c r="B8" s="75" t="str">
        <f>IFERROR(__xludf.DUMMYFUNCTION("""COMPUTED_VALUE"""),"MUHAMMED SHAFIN KP")</f>
        <v>MUHAMMED SHAFIN KP</v>
      </c>
      <c r="C8" s="75">
        <f>IFERROR(__xludf.DUMMYFUNCTION("""COMPUTED_VALUE"""),5.0)</f>
        <v>5</v>
      </c>
      <c r="D8" s="75" t="str">
        <f>IFERROR(__xludf.DUMMYFUNCTION("""COMPUTED_VALUE"""),"THĀNIYAH")</f>
        <v>THĀNIYAH</v>
      </c>
      <c r="E8" s="75" t="str">
        <f>IFERROR(__xludf.DUMMYFUNCTION("""COMPUTED_VALUE"""),"TEAM C")</f>
        <v>TEAM C</v>
      </c>
      <c r="F8" s="75" t="str">
        <f>IFERROR(__xludf.DUMMYFUNCTION("""COMPUTED_VALUE"""),"Min 1 Required (Stage &amp; Non-Stage)")</f>
        <v>Min 1 Required (Stage &amp; Non-Stage)</v>
      </c>
      <c r="G8" s="92" t="str">
        <f>IFERROR(__xludf.DUMMYFUNCTION("IF(OR($A8="""", G$5=""""), """", IF(ISNUMBER(MATCH(G$5, IFERROR(FILTER('MASTER LIST'!$N$2:$AB$294, 'MASTER LIST'!$A$2:$A$294=$A8), """"), 0)), ""Y"", """"))"),"")</f>
        <v/>
      </c>
      <c r="H8" s="92" t="str">
        <f>IFERROR(__xludf.DUMMYFUNCTION("IF(OR($A8="""", H$5=""""), """", IF(ISNUMBER(MATCH(H$5, IFERROR(FILTER('MASTER LIST'!$N$2:$AB$294, 'MASTER LIST'!$A$2:$A$294=$A8), """"), 0)), ""Y"", """"))"),"")</f>
        <v/>
      </c>
      <c r="I8" s="92" t="str">
        <f>IFERROR(__xludf.DUMMYFUNCTION("IF(OR($A8="""", I$5=""""), """", IF(ISNUMBER(MATCH(I$5, IFERROR(FILTER('MASTER LIST'!$N$2:$AB$294, 'MASTER LIST'!$A$2:$A$294=$A8), """"), 0)), ""Y"", """"))"),"")</f>
        <v/>
      </c>
      <c r="J8" s="92" t="str">
        <f>IFERROR(__xludf.DUMMYFUNCTION("IF(OR($A8="""", J$5=""""), """", IF(ISNUMBER(MATCH(J$5, IFERROR(FILTER('MASTER LIST'!$N$2:$AB$294, 'MASTER LIST'!$A$2:$A$294=$A8), """"), 0)), ""Y"", """"))"),"")</f>
        <v/>
      </c>
      <c r="K8" s="92" t="str">
        <f>IFERROR(__xludf.DUMMYFUNCTION("IF(OR($A8="""", K$5=""""), """", IF(ISNUMBER(MATCH(K$5, IFERROR(FILTER('MASTER LIST'!$N$2:$AB$294, 'MASTER LIST'!$A$2:$A$294=$A8), """"), 0)), ""Y"", """"))"),"")</f>
        <v/>
      </c>
      <c r="L8" s="92" t="str">
        <f>IFERROR(__xludf.DUMMYFUNCTION("IF(OR($A8="""", L$5=""""), """", IF(ISNUMBER(MATCH(L$5, IFERROR(FILTER('MASTER LIST'!$N$2:$AB$294, 'MASTER LIST'!$A$2:$A$294=$A8), """"), 0)), ""Y"", """"))"),"")</f>
        <v/>
      </c>
      <c r="M8" s="92" t="str">
        <f>IFERROR(__xludf.DUMMYFUNCTION("IF(OR($A8="""", M$5=""""), """", IF(ISNUMBER(MATCH(M$5, IFERROR(FILTER('MASTER LIST'!$N$2:$AB$294, 'MASTER LIST'!$A$2:$A$294=$A8), """"), 0)), ""Y"", """"))"),"")</f>
        <v/>
      </c>
      <c r="N8" s="92" t="str">
        <f>IFERROR(__xludf.DUMMYFUNCTION("IF(OR($A8="""", N$5=""""), """", IF(ISNUMBER(MATCH(N$5, IFERROR(FILTER('MASTER LIST'!$N$2:$AB$294, 'MASTER LIST'!$A$2:$A$294=$A8), """"), 0)), ""Y"", """"))"),"")</f>
        <v/>
      </c>
      <c r="O8" s="92" t="str">
        <f>IFERROR(__xludf.DUMMYFUNCTION("IF(OR($A8="""", O$5=""""), """", IF(ISNUMBER(MATCH(O$5, IFERROR(FILTER('MASTER LIST'!$N$2:$AB$294, 'MASTER LIST'!$A$2:$A$294=$A8), """"), 0)), ""Y"", """"))"),"")</f>
        <v/>
      </c>
      <c r="P8" s="92" t="str">
        <f>IFERROR(__xludf.DUMMYFUNCTION("IF(OR($A8="""", P$5=""""), """", IF(ISNUMBER(MATCH(P$5, IFERROR(FILTER('MASTER LIST'!$N$2:$AB$294, 'MASTER LIST'!$A$2:$A$294=$A8), """"), 0)), ""Y"", """"))"),"")</f>
        <v/>
      </c>
      <c r="Q8" s="92" t="str">
        <f>IFERROR(__xludf.DUMMYFUNCTION("IF(OR($A8="""", Q$5=""""), """", IF(ISNUMBER(MATCH(Q$5, IFERROR(FILTER('MASTER LIST'!$N$2:$AB$294, 'MASTER LIST'!$A$2:$A$294=$A8), """"), 0)), ""Y"", """"))"),"")</f>
        <v/>
      </c>
      <c r="R8" s="92" t="str">
        <f>IFERROR(__xludf.DUMMYFUNCTION("IF(OR($A8="""", R$5=""""), """", IF(ISNUMBER(MATCH(R$5, IFERROR(FILTER('MASTER LIST'!$N$2:$AB$294, 'MASTER LIST'!$A$2:$A$294=$A8), """"), 0)), ""Y"", """"))"),"")</f>
        <v/>
      </c>
      <c r="S8" s="92" t="str">
        <f>IFERROR(__xludf.DUMMYFUNCTION("IF(OR($A8="""", S$5=""""), """", IF(ISNUMBER(MATCH(S$5, IFERROR(FILTER('MASTER LIST'!$N$2:$AB$294, 'MASTER LIST'!$A$2:$A$294=$A8), """"), 0)), ""Y"", """"))"),"")</f>
        <v/>
      </c>
      <c r="T8" s="92" t="str">
        <f>IFERROR(__xludf.DUMMYFUNCTION("IF(OR($A8="""", T$5=""""), """", IF(ISNUMBER(MATCH(T$5, IFERROR(FILTER('MASTER LIST'!$N$2:$AB$294, 'MASTER LIST'!$A$2:$A$294=$A8), """"), 0)), ""Y"", """"))"),"")</f>
        <v/>
      </c>
      <c r="U8" s="92" t="str">
        <f>IFERROR(__xludf.DUMMYFUNCTION("IF(OR($A8="""", U$5=""""), """", IF(ISNUMBER(MATCH(U$5, IFERROR(FILTER('MASTER LIST'!$N$2:$AB$294, 'MASTER LIST'!$A$2:$A$294=$A8), """"), 0)), ""Y"", """"))"),"")</f>
        <v/>
      </c>
      <c r="V8" s="92" t="str">
        <f>IFERROR(__xludf.DUMMYFUNCTION("IF(OR($A8="""", V$5=""""), """", IF(ISNUMBER(MATCH(V$5, IFERROR(FILTER('MASTER LIST'!$N$2:$AB$294, 'MASTER LIST'!$A$2:$A$294=$A8), """"), 0)), ""Y"", """"))"),"")</f>
        <v/>
      </c>
      <c r="W8" s="92" t="str">
        <f>IFERROR(__xludf.DUMMYFUNCTION("IF(OR($A8="""", W$5=""""), """", IF(ISNUMBER(MATCH(W$5, IFERROR(FILTER('MASTER LIST'!$N$2:$AB$294, 'MASTER LIST'!$A$2:$A$294=$A8), """"), 0)), ""Y"", """"))"),"")</f>
        <v/>
      </c>
      <c r="X8" s="92" t="str">
        <f>IFERROR(__xludf.DUMMYFUNCTION("IF(OR($A8="""", X$5=""""), """", IF(ISNUMBER(MATCH(X$5, IFERROR(FILTER('MASTER LIST'!$N$2:$AB$294, 'MASTER LIST'!$A$2:$A$294=$A8), """"), 0)), ""Y"", """"))"),"")</f>
        <v/>
      </c>
      <c r="Y8" s="92" t="str">
        <f>IFERROR(__xludf.DUMMYFUNCTION("IF(OR($A8="""", Y$5=""""), """", IF(ISNUMBER(MATCH(Y$5, IFERROR(FILTER('MASTER LIST'!$N$2:$AB$294, 'MASTER LIST'!$A$2:$A$294=$A8), """"), 0)), ""Y"", """"))"),"")</f>
        <v/>
      </c>
      <c r="Z8" s="92" t="str">
        <f>IFERROR(__xludf.DUMMYFUNCTION("IF(OR($A8="""", Z$5=""""), """", IF(ISNUMBER(MATCH(Z$5, IFERROR(FILTER('MASTER LIST'!$N$2:$AB$294, 'MASTER LIST'!$A$2:$A$294=$A8), """"), 0)), ""Y"", """"))"),"")</f>
        <v/>
      </c>
      <c r="AA8" s="92" t="str">
        <f>IFERROR(__xludf.DUMMYFUNCTION("IF(OR($A8="""", AA$5=""""), """", IF(ISNUMBER(MATCH(AA$5, IFERROR(FILTER('MASTER LIST'!$N$2:$AB$294, 'MASTER LIST'!$A$2:$A$294=$A8), """"), 0)), ""Y"", """"))"),"")</f>
        <v/>
      </c>
      <c r="AB8" s="92" t="str">
        <f>IFERROR(__xludf.DUMMYFUNCTION("IF(OR($A8="""", AB$5=""""), """", IF(ISNUMBER(MATCH(AB$5, IFERROR(FILTER('MASTER LIST'!$N$2:$AB$294, 'MASTER LIST'!$A$2:$A$294=$A8), """"), 0)), ""Y"", """"))"),"")</f>
        <v/>
      </c>
      <c r="AC8" s="92" t="str">
        <f>IFERROR(__xludf.DUMMYFUNCTION("IF(OR($A8="""", AC$5=""""), """", IF(ISNUMBER(MATCH(AC$5, IFERROR(FILTER('MASTER LIST'!$N$2:$AB$294, 'MASTER LIST'!$A$2:$A$294=$A8), """"), 0)), ""Y"", """"))"),"")</f>
        <v/>
      </c>
      <c r="AD8" s="92" t="str">
        <f>IFERROR(__xludf.DUMMYFUNCTION("IF(OR($A8="""", AD$5=""""), """", IF(ISNUMBER(MATCH(AD$5, IFERROR(FILTER('MASTER LIST'!$N$2:$AB$294, 'MASTER LIST'!$A$2:$A$294=$A8), """"), 0)), ""Y"", """"))"),"")</f>
        <v/>
      </c>
      <c r="AE8" s="92" t="str">
        <f>IFERROR(__xludf.DUMMYFUNCTION("IF(OR($A8="""", AE$5=""""), """", IF(ISNUMBER(MATCH(AE$5, IFERROR(FILTER('MASTER LIST'!$N$2:$AB$294, 'MASTER LIST'!$A$2:$A$294=$A8), """"), 0)), ""Y"", """"))"),"")</f>
        <v/>
      </c>
      <c r="AF8" s="92" t="str">
        <f>IFERROR(__xludf.DUMMYFUNCTION("IF(OR($A8="""", AF$5=""""), """", IF(ISNUMBER(MATCH(AF$5, IFERROR(FILTER('MASTER LIST'!$N$2:$AB$294, 'MASTER LIST'!$A$2:$A$294=$A8), """"), 0)), ""Y"", """"))"),"")</f>
        <v/>
      </c>
      <c r="AG8" s="92" t="str">
        <f>IFERROR(__xludf.DUMMYFUNCTION("IF(OR($A8="""", AG$5=""""), """", IF(ISNUMBER(MATCH(AG$5, IFERROR(FILTER('MASTER LIST'!$N$2:$AB$294, 'MASTER LIST'!$A$2:$A$294=$A8), """"), 0)), ""Y"", """"))"),"")</f>
        <v/>
      </c>
      <c r="AH8" s="92" t="str">
        <f>IFERROR(__xludf.DUMMYFUNCTION("IF(OR($A8="""", AH$5=""""), """", IF(ISNUMBER(MATCH(AH$5, IFERROR(FILTER('MASTER LIST'!$N$2:$AB$294, 'MASTER LIST'!$A$2:$A$294=$A8), """"), 0)), ""Y"", """"))"),"")</f>
        <v/>
      </c>
      <c r="AI8" s="92" t="str">
        <f>IFERROR(__xludf.DUMMYFUNCTION("IF(OR($A8="""", AI$5=""""), """", IF(ISNUMBER(MATCH(AI$5, IFERROR(FILTER('MASTER LIST'!$N$2:$AB$294, 'MASTER LIST'!$A$2:$A$294=$A8), """"), 0)), ""Y"", """"))"),"")</f>
        <v/>
      </c>
      <c r="AJ8" s="92" t="str">
        <f>IFERROR(__xludf.DUMMYFUNCTION("IF(OR($A8="""", AJ$5=""""), """", IF(ISNUMBER(MATCH(AJ$5, IFERROR(FILTER('MASTER LIST'!$N$2:$AB$294, 'MASTER LIST'!$A$2:$A$294=$A8), """"), 0)), ""Y"", """"))"),"")</f>
        <v/>
      </c>
      <c r="AK8" s="92" t="str">
        <f>IFERROR(__xludf.DUMMYFUNCTION("IF(OR($A8="""", AK$5=""""), """", IF(ISNUMBER(MATCH(AK$5, IFERROR(FILTER('MASTER LIST'!$N$2:$AB$294, 'MASTER LIST'!$A$2:$A$294=$A8), """"), 0)), ""Y"", """"))"),"")</f>
        <v/>
      </c>
      <c r="AL8" s="92" t="str">
        <f>IFERROR(__xludf.DUMMYFUNCTION("IF(OR($A8="""", AL$5=""""), """", IF(ISNUMBER(MATCH(AL$5, IFERROR(FILTER('MASTER LIST'!$N$2:$AB$294, 'MASTER LIST'!$A$2:$A$294=$A8), """"), 0)), ""Y"", """"))"),"")</f>
        <v/>
      </c>
      <c r="AM8" s="92" t="str">
        <f>IFERROR(__xludf.DUMMYFUNCTION("IF(OR($A8="""", AM$5=""""), """", IF(ISNUMBER(MATCH(AM$5, IFERROR(FILTER('MASTER LIST'!$N$2:$AB$294, 'MASTER LIST'!$A$2:$A$294=$A8), """"), 0)), ""Y"", """"))"),"")</f>
        <v/>
      </c>
      <c r="AN8" s="92" t="str">
        <f>IFERROR(__xludf.DUMMYFUNCTION("IF(OR($A8="""", AN$5=""""), """", IF(ISNUMBER(MATCH(AN$5, IFERROR(FILTER('MASTER LIST'!$N$2:$AB$294, 'MASTER LIST'!$A$2:$A$294=$A8), """"), 0)), ""Y"", """"))"),"")</f>
        <v/>
      </c>
      <c r="AO8" s="92" t="str">
        <f>IFERROR(__xludf.DUMMYFUNCTION("IF(OR($A8="""", AO$5=""""), """", IF(ISNUMBER(MATCH(AO$5, IFERROR(FILTER('MASTER LIST'!$N$2:$AB$294, 'MASTER LIST'!$A$2:$A$294=$A8), """"), 0)), ""Y"", """"))"),"")</f>
        <v/>
      </c>
      <c r="AP8" s="92" t="str">
        <f>IFERROR(__xludf.DUMMYFUNCTION("IF(OR($A8="""", AP$5=""""), """", IF(ISNUMBER(MATCH(AP$5, IFERROR(FILTER('MASTER LIST'!$N$2:$AB$294, 'MASTER LIST'!$A$2:$A$294=$A8), """"), 0)), ""Y"", """"))"),"")</f>
        <v/>
      </c>
      <c r="AQ8" s="92" t="str">
        <f>IFERROR(__xludf.DUMMYFUNCTION("IF(OR($A8="""", AQ$5=""""), """", IF(ISNUMBER(MATCH(AQ$5, IFERROR(FILTER('MASTER LIST'!$N$2:$AB$294, 'MASTER LIST'!$A$2:$A$294=$A8), """"), 0)), ""Y"", """"))"),"")</f>
        <v/>
      </c>
      <c r="AR8" s="92" t="str">
        <f>IFERROR(__xludf.DUMMYFUNCTION("IF(OR($A8="""", AR$5=""""), """", IF(ISNUMBER(MATCH(AR$5, IFERROR(FILTER('MASTER LIST'!$N$2:$AB$294, 'MASTER LIST'!$A$2:$A$294=$A8), """"), 0)), ""Y"", """"))"),"")</f>
        <v/>
      </c>
      <c r="AS8" s="92" t="str">
        <f>IFERROR(__xludf.DUMMYFUNCTION("IF(OR($A8="""", AS$5=""""), """", IF(ISNUMBER(MATCH(AS$5, IFERROR(FILTER('MASTER LIST'!$N$2:$AB$294, 'MASTER LIST'!$A$2:$A$294=$A8), """"), 0)), ""Y"", """"))"),"")</f>
        <v/>
      </c>
      <c r="AT8" s="92" t="str">
        <f>IFERROR(__xludf.DUMMYFUNCTION("IF(OR($A8="""", AT$5=""""), """", IF(ISNUMBER(MATCH(AT$5, IFERROR(FILTER('MASTER LIST'!$N$2:$AB$294, 'MASTER LIST'!$A$2:$A$294=$A8), """"), 0)), ""Y"", """"))"),"")</f>
        <v/>
      </c>
      <c r="AU8" s="92" t="str">
        <f>IFERROR(__xludf.DUMMYFUNCTION("IF(OR($A8="""", AU$5=""""), """", IF(ISNUMBER(MATCH(AU$5, IFERROR(FILTER('MASTER LIST'!$N$2:$AB$294, 'MASTER LIST'!$A$2:$A$294=$A8), """"), 0)), ""Y"", """"))"),"")</f>
        <v/>
      </c>
      <c r="AV8" s="92" t="str">
        <f>IFERROR(__xludf.DUMMYFUNCTION("IF(OR($A8="""", AV$5=""""), """", IF(ISNUMBER(MATCH(AV$5, IFERROR(FILTER('MASTER LIST'!$N$2:$AB$294, 'MASTER LIST'!$A$2:$A$294=$A8), """"), 0)), ""Y"", """"))"),"")</f>
        <v/>
      </c>
      <c r="AW8" s="92" t="str">
        <f>IFERROR(__xludf.DUMMYFUNCTION("IF(OR($A8="""", AW$5=""""), """", IF(ISNUMBER(MATCH(AW$5, IFERROR(FILTER('MASTER LIST'!$N$2:$AB$294, 'MASTER LIST'!$A$2:$A$294=$A8), """"), 0)), ""Y"", """"))"),"")</f>
        <v/>
      </c>
      <c r="AX8" s="92" t="str">
        <f>IFERROR(__xludf.DUMMYFUNCTION("IF(OR($A8="""", AX$5=""""), """", IF(ISNUMBER(MATCH(AX$5, IFERROR(FILTER('MASTER LIST'!$N$2:$AB$294, 'MASTER LIST'!$A$2:$A$294=$A8), """"), 0)), ""Y"", """"))"),"")</f>
        <v/>
      </c>
      <c r="AY8" s="92" t="str">
        <f>IFERROR(__xludf.DUMMYFUNCTION("IF(OR($A8="""", AY$5=""""), """", IF(ISNUMBER(MATCH(AY$5, IFERROR(FILTER('MASTER LIST'!$N$2:$AB$294, 'MASTER LIST'!$A$2:$A$294=$A8), """"), 0)), ""Y"", """"))"),"")</f>
        <v/>
      </c>
      <c r="AZ8" s="92" t="str">
        <f>IFERROR(__xludf.DUMMYFUNCTION("IF(OR($A8="""", AZ$5=""""), """", IF(ISNUMBER(MATCH(AZ$5, IFERROR(FILTER('MASTER LIST'!$N$2:$AB$294, 'MASTER LIST'!$A$2:$A$294=$A8), """"), 0)), ""Y"", """"))"),"")</f>
        <v/>
      </c>
      <c r="BA8" s="92" t="str">
        <f>IFERROR(__xludf.DUMMYFUNCTION("IF(OR($A8="""", BA$5=""""), """", IF(ISNUMBER(MATCH(BA$5, IFERROR(FILTER('MASTER LIST'!$N$2:$AB$294, 'MASTER LIST'!$A$2:$A$294=$A8), """"), 0)), ""Y"", """"))"),"")</f>
        <v/>
      </c>
      <c r="BB8" s="92" t="str">
        <f>IFERROR(__xludf.DUMMYFUNCTION("IF(OR($A8="""", BB$5=""""), """", IF(ISNUMBER(MATCH(BB$5, IFERROR(FILTER('MASTER LIST'!$N$2:$AB$294, 'MASTER LIST'!$A$2:$A$294=$A8), """"), 0)), ""Y"", """"))"),"")</f>
        <v/>
      </c>
      <c r="BC8" s="92" t="str">
        <f>IFERROR(__xludf.DUMMYFUNCTION("IF(OR($A8="""", BC$5=""""), """", IF(ISNUMBER(MATCH(BC$5, IFERROR(FILTER('MASTER LIST'!$N$2:$AB$294, 'MASTER LIST'!$A$2:$A$294=$A8), """"), 0)), ""Y"", """"))"),"")</f>
        <v/>
      </c>
      <c r="BD8" s="92" t="str">
        <f>IFERROR(__xludf.DUMMYFUNCTION("IF(OR($A8="""", BD$5=""""), """", IF(ISNUMBER(MATCH(BD$5, IFERROR(FILTER('MASTER LIST'!$N$2:$AB$294, 'MASTER LIST'!$A$2:$A$294=$A8), """"), 0)), ""Y"", """"))"),"")</f>
        <v/>
      </c>
      <c r="BE8" s="92" t="str">
        <f>IFERROR(__xludf.DUMMYFUNCTION("IF(OR($A8="""", BE$5=""""), """", IF(ISNUMBER(MATCH(BE$5, IFERROR(FILTER('MASTER LIST'!$N$2:$AB$294, 'MASTER LIST'!$A$2:$A$294=$A8), """"), 0)), ""Y"", """"))"),"")</f>
        <v/>
      </c>
      <c r="BF8" s="92" t="str">
        <f>IFERROR(__xludf.DUMMYFUNCTION("IF(OR($A8="""", BF$5=""""), """", IF(ISNUMBER(MATCH(BF$5, IFERROR(FILTER('MASTER LIST'!$N$2:$AB$294, 'MASTER LIST'!$A$2:$A$294=$A8), """"), 0)), ""Y"", """"))"),"")</f>
        <v/>
      </c>
      <c r="BG8" s="92" t="str">
        <f>IFERROR(__xludf.DUMMYFUNCTION("IF(OR($A8="""", BG$5=""""), """", IF(ISNUMBER(MATCH(BG$5, IFERROR(FILTER('MASTER LIST'!$N$2:$AB$294, 'MASTER LIST'!$A$2:$A$294=$A8), """"), 0)), ""Y"", """"))"),"")</f>
        <v/>
      </c>
      <c r="BH8" s="92" t="str">
        <f>IFERROR(__xludf.DUMMYFUNCTION("IF(OR($A8="""", BH$5=""""), """", IF(ISNUMBER(MATCH(BH$5, IFERROR(FILTER('MASTER LIST'!$N$2:$AB$294, 'MASTER LIST'!$A$2:$A$294=$A8), """"), 0)), ""Y"", """"))"),"")</f>
        <v/>
      </c>
      <c r="BI8" s="92" t="str">
        <f>IFERROR(__xludf.DUMMYFUNCTION("IF(OR($A8="""", BI$5=""""), """", IF(ISNUMBER(MATCH(BI$5, IFERROR(FILTER('MASTER LIST'!$N$2:$AB$294, 'MASTER LIST'!$A$2:$A$294=$A8), """"), 0)), ""Y"", """"))"),"")</f>
        <v/>
      </c>
      <c r="BJ8" s="92" t="str">
        <f>IFERROR(__xludf.DUMMYFUNCTION("IF(OR($A8="""", BJ$5=""""), """", IF(ISNUMBER(MATCH(BJ$5, IFERROR(FILTER('MASTER LIST'!$N$2:$AB$294, 'MASTER LIST'!$A$2:$A$294=$A8), """"), 0)), ""Y"", """"))"),"")</f>
        <v/>
      </c>
      <c r="BK8" s="92" t="str">
        <f>IFERROR(__xludf.DUMMYFUNCTION("IF(OR($A8="""", BK$5=""""), """", IF(ISNUMBER(MATCH(BK$5, IFERROR(FILTER('MASTER LIST'!$N$2:$AB$294, 'MASTER LIST'!$A$2:$A$294=$A8), """"), 0)), ""Y"", """"))"),"")</f>
        <v/>
      </c>
      <c r="BL8" s="92" t="str">
        <f>IFERROR(__xludf.DUMMYFUNCTION("IF(OR($A8="""", BL$5=""""), """", IF(ISNUMBER(MATCH(BL$5, IFERROR(FILTER('MASTER LIST'!$N$2:$AB$294, 'MASTER LIST'!$A$2:$A$294=$A8), """"), 0)), ""Y"", """"))"),"")</f>
        <v/>
      </c>
      <c r="BM8" s="92" t="str">
        <f>IFERROR(__xludf.DUMMYFUNCTION("IF(OR($A8="""", BM$5=""""), """", IF(ISNUMBER(MATCH(BM$5, IFERROR(FILTER('MASTER LIST'!$N$2:$AB$294, 'MASTER LIST'!$A$2:$A$294=$A8), """"), 0)), ""Y"", """"))"),"")</f>
        <v/>
      </c>
      <c r="BN8" s="92" t="str">
        <f>IFERROR(__xludf.DUMMYFUNCTION("IF(OR($A8="""", BN$5=""""), """", IF(ISNUMBER(MATCH(BN$5, IFERROR(FILTER('MASTER LIST'!$N$2:$AB$294, 'MASTER LIST'!$A$2:$A$294=$A8), """"), 0)), ""Y"", """"))"),"")</f>
        <v/>
      </c>
      <c r="BO8" s="92" t="str">
        <f>IFERROR(__xludf.DUMMYFUNCTION("IF(OR($A8="""", BO$5=""""), """", IF(ISNUMBER(MATCH(BO$5, IFERROR(FILTER('MASTER LIST'!$N$2:$AB$294, 'MASTER LIST'!$A$2:$A$294=$A8), """"), 0)), ""Y"", """"))"),"")</f>
        <v/>
      </c>
      <c r="BP8" s="92" t="str">
        <f>IFERROR(__xludf.DUMMYFUNCTION("IF(OR($A8="""", BP$5=""""), """", IF(ISNUMBER(MATCH(BP$5, IFERROR(FILTER('MASTER LIST'!$N$2:$AB$294, 'MASTER LIST'!$A$2:$A$294=$A8), """"), 0)), ""Y"", """"))"),"")</f>
        <v/>
      </c>
      <c r="BQ8" s="92" t="str">
        <f>IFERROR(__xludf.DUMMYFUNCTION("IF(OR($A8="""", BQ$5=""""), """", IF(ISNUMBER(MATCH(BQ$5, IFERROR(FILTER('MASTER LIST'!$N$2:$AB$294, 'MASTER LIST'!$A$2:$A$294=$A8), """"), 0)), ""Y"", """"))"),"")</f>
        <v/>
      </c>
      <c r="BR8" s="92" t="str">
        <f>IFERROR(__xludf.DUMMYFUNCTION("IF(OR($A8="""", BR$5=""""), """", IF(ISNUMBER(MATCH(BR$5, IFERROR(FILTER('MASTER LIST'!$N$2:$AB$294, 'MASTER LIST'!$A$2:$A$294=$A8), """"), 0)), ""Y"", """"))"),"")</f>
        <v/>
      </c>
      <c r="BS8" s="92" t="str">
        <f>IFERROR(__xludf.DUMMYFUNCTION("IF(OR($A8="""", BS$5=""""), """", IF(ISNUMBER(MATCH(BS$5, IFERROR(FILTER('MASTER LIST'!$N$2:$AB$294, 'MASTER LIST'!$A$2:$A$294=$A8), """"), 0)), ""Y"", """"))"),"")</f>
        <v/>
      </c>
      <c r="BT8" s="92" t="str">
        <f>IFERROR(__xludf.DUMMYFUNCTION("IF(OR($A8="""", BT$5=""""), """", IF(ISNUMBER(MATCH(BT$5, IFERROR(FILTER('MASTER LIST'!$N$2:$AB$294, 'MASTER LIST'!$A$2:$A$294=$A8), """"), 0)), ""Y"", """"))"),"")</f>
        <v/>
      </c>
      <c r="BU8" s="92" t="str">
        <f>IFERROR(__xludf.DUMMYFUNCTION("IF(OR($A8="""", BU$5=""""), """", IF(ISNUMBER(MATCH(BU$5, IFERROR(FILTER('MASTER LIST'!$N$2:$AB$294, 'MASTER LIST'!$A$2:$A$294=$A8), """"), 0)), ""Y"", """"))"),"")</f>
        <v/>
      </c>
      <c r="BV8" s="92" t="str">
        <f>IFERROR(__xludf.DUMMYFUNCTION("IF(OR($A8="""", BV$5=""""), """", IF(ISNUMBER(MATCH(BV$5, IFERROR(FILTER('MASTER LIST'!$N$2:$AB$294, 'MASTER LIST'!$A$2:$A$294=$A8), """"), 0)), ""Y"", """"))"),"")</f>
        <v/>
      </c>
      <c r="BW8" s="92" t="str">
        <f>IFERROR(__xludf.DUMMYFUNCTION("IF(OR($A8="""", BW$5=""""), """", IF(ISNUMBER(MATCH(BW$5, IFERROR(FILTER('MASTER LIST'!$N$2:$AB$294, 'MASTER LIST'!$A$2:$A$294=$A8), """"), 0)), ""Y"", """"))"),"")</f>
        <v/>
      </c>
      <c r="BX8" s="92" t="str">
        <f>IFERROR(__xludf.DUMMYFUNCTION("IF(OR($A8="""", BX$5=""""), """", IF(ISNUMBER(MATCH(BX$5, IFERROR(FILTER('MASTER LIST'!$N$2:$AB$294, 'MASTER LIST'!$A$2:$A$294=$A8), """"), 0)), ""Y"", """"))"),"")</f>
        <v/>
      </c>
      <c r="BY8" s="92" t="str">
        <f>IFERROR(__xludf.DUMMYFUNCTION("IF(OR($A8="""", BY$5=""""), """", IF(ISNUMBER(MATCH(BY$5, IFERROR(FILTER('MASTER LIST'!$N$2:$AB$294, 'MASTER LIST'!$A$2:$A$294=$A8), """"), 0)), ""Y"", """"))"),"")</f>
        <v/>
      </c>
      <c r="BZ8" s="92" t="str">
        <f>IFERROR(__xludf.DUMMYFUNCTION("IF(OR($A8="""", BZ$5=""""), """", IF(ISNUMBER(MATCH(BZ$5, IFERROR(FILTER('MASTER LIST'!$N$2:$AB$294, 'MASTER LIST'!$A$2:$A$294=$A8), """"), 0)), ""Y"", """"))"),"")</f>
        <v/>
      </c>
      <c r="CA8" s="92" t="str">
        <f>IFERROR(__xludf.DUMMYFUNCTION("IF(OR($A8="""", CA$5=""""), """", IF(ISNUMBER(MATCH(CA$5, IFERROR(FILTER('MASTER LIST'!$N$2:$AB$294, 'MASTER LIST'!$A$2:$A$294=$A8), """"), 0)), ""Y"", """"))"),"")</f>
        <v/>
      </c>
      <c r="CB8" s="92" t="str">
        <f>IFERROR(__xludf.DUMMYFUNCTION("IF(OR($A8="""", CB$5=""""), """", IF(ISNUMBER(MATCH(CB$5, IFERROR(FILTER('MASTER LIST'!$N$2:$AB$294, 'MASTER LIST'!$A$2:$A$294=$A8), """"), 0)), ""Y"", """"))"),"")</f>
        <v/>
      </c>
      <c r="CC8" s="92"/>
      <c r="CD8" s="92"/>
      <c r="CE8" s="92"/>
      <c r="CF8" s="92"/>
      <c r="CG8" s="92"/>
      <c r="CH8" s="92"/>
      <c r="CI8" s="92"/>
      <c r="CJ8" s="92"/>
      <c r="CK8" s="92"/>
    </row>
    <row r="9">
      <c r="A9" s="75">
        <f>IFERROR(__xludf.DUMMYFUNCTION("""COMPUTED_VALUE"""),272.0)</f>
        <v>272</v>
      </c>
      <c r="B9" s="75" t="str">
        <f>IFERROR(__xludf.DUMMYFUNCTION("""COMPUTED_VALUE"""),"MUHAMMED DHANISH TV")</f>
        <v>MUHAMMED DHANISH TV</v>
      </c>
      <c r="C9" s="75">
        <f>IFERROR(__xludf.DUMMYFUNCTION("""COMPUTED_VALUE"""),5.0)</f>
        <v>5</v>
      </c>
      <c r="D9" s="75" t="str">
        <f>IFERROR(__xludf.DUMMYFUNCTION("""COMPUTED_VALUE"""),"THĀNIYAH")</f>
        <v>THĀNIYAH</v>
      </c>
      <c r="E9" s="75" t="str">
        <f>IFERROR(__xludf.DUMMYFUNCTION("""COMPUTED_VALUE"""),"TEAM C")</f>
        <v>TEAM C</v>
      </c>
      <c r="F9" s="75" t="str">
        <f>IFERROR(__xludf.DUMMYFUNCTION("""COMPUTED_VALUE"""),"Min 1 Required (Stage &amp; Non-Stage)")</f>
        <v>Min 1 Required (Stage &amp; Non-Stage)</v>
      </c>
      <c r="G9" s="91" t="str">
        <f>IFERROR(__xludf.DUMMYFUNCTION("IF(OR($A9="""", G$5=""""), """", IF(ISNUMBER(MATCH(G$5, IFERROR(FILTER('MASTER LIST'!$N$2:$W$294, 'MASTER LIST'!$A$2:$A$294=$A9), """"), 0)), ""Y"", """"))"),"")</f>
        <v/>
      </c>
      <c r="H9" s="92" t="str">
        <f>IFERROR(__xludf.DUMMYFUNCTION("IF(OR($A9="""", H$5=""""), """", IF(ISNUMBER(MATCH(H$5, IFERROR(FILTER('MASTER LIST'!$N$2:$AB$294, 'MASTER LIST'!$A$2:$A$294=$A9), """"), 0)), ""Y"", """"))"),"")</f>
        <v/>
      </c>
      <c r="I9" s="92" t="str">
        <f>IFERROR(__xludf.DUMMYFUNCTION("IF(OR($A9="""", I$5=""""), """", IF(ISNUMBER(MATCH(I$5, IFERROR(FILTER('MASTER LIST'!$N$2:$AB$294, 'MASTER LIST'!$A$2:$A$294=$A9), """"), 0)), ""Y"", """"))"),"")</f>
        <v/>
      </c>
      <c r="J9" s="92" t="str">
        <f>IFERROR(__xludf.DUMMYFUNCTION("IF(OR($A9="""", J$5=""""), """", IF(ISNUMBER(MATCH(J$5, IFERROR(FILTER('MASTER LIST'!$N$2:$AB$294, 'MASTER LIST'!$A$2:$A$294=$A9), """"), 0)), ""Y"", """"))"),"")</f>
        <v/>
      </c>
      <c r="K9" s="92" t="str">
        <f>IFERROR(__xludf.DUMMYFUNCTION("IF(OR($A9="""", K$5=""""), """", IF(ISNUMBER(MATCH(K$5, IFERROR(FILTER('MASTER LIST'!$N$2:$AB$294, 'MASTER LIST'!$A$2:$A$294=$A9), """"), 0)), ""Y"", """"))"),"")</f>
        <v/>
      </c>
      <c r="L9" s="92" t="str">
        <f>IFERROR(__xludf.DUMMYFUNCTION("IF(OR($A9="""", L$5=""""), """", IF(ISNUMBER(MATCH(L$5, IFERROR(FILTER('MASTER LIST'!$N$2:$AB$294, 'MASTER LIST'!$A$2:$A$294=$A9), """"), 0)), ""Y"", """"))"),"")</f>
        <v/>
      </c>
      <c r="M9" s="92" t="str">
        <f>IFERROR(__xludf.DUMMYFUNCTION("IF(OR($A9="""", M$5=""""), """", IF(ISNUMBER(MATCH(M$5, IFERROR(FILTER('MASTER LIST'!$N$2:$AB$294, 'MASTER LIST'!$A$2:$A$294=$A9), """"), 0)), ""Y"", """"))"),"")</f>
        <v/>
      </c>
      <c r="N9" s="92" t="str">
        <f>IFERROR(__xludf.DUMMYFUNCTION("IF(OR($A9="""", N$5=""""), """", IF(ISNUMBER(MATCH(N$5, IFERROR(FILTER('MASTER LIST'!$N$2:$AB$294, 'MASTER LIST'!$A$2:$A$294=$A9), """"), 0)), ""Y"", """"))"),"")</f>
        <v/>
      </c>
      <c r="O9" s="92" t="str">
        <f>IFERROR(__xludf.DUMMYFUNCTION("IF(OR($A9="""", O$5=""""), """", IF(ISNUMBER(MATCH(O$5, IFERROR(FILTER('MASTER LIST'!$N$2:$AB$294, 'MASTER LIST'!$A$2:$A$294=$A9), """"), 0)), ""Y"", """"))"),"")</f>
        <v/>
      </c>
      <c r="P9" s="92" t="str">
        <f>IFERROR(__xludf.DUMMYFUNCTION("IF(OR($A9="""", P$5=""""), """", IF(ISNUMBER(MATCH(P$5, IFERROR(FILTER('MASTER LIST'!$N$2:$AB$294, 'MASTER LIST'!$A$2:$A$294=$A9), """"), 0)), ""Y"", """"))"),"")</f>
        <v/>
      </c>
      <c r="Q9" s="92" t="str">
        <f>IFERROR(__xludf.DUMMYFUNCTION("IF(OR($A9="""", Q$5=""""), """", IF(ISNUMBER(MATCH(Q$5, IFERROR(FILTER('MASTER LIST'!$N$2:$AB$294, 'MASTER LIST'!$A$2:$A$294=$A9), """"), 0)), ""Y"", """"))"),"")</f>
        <v/>
      </c>
      <c r="R9" s="92" t="str">
        <f>IFERROR(__xludf.DUMMYFUNCTION("IF(OR($A9="""", R$5=""""), """", IF(ISNUMBER(MATCH(R$5, IFERROR(FILTER('MASTER LIST'!$N$2:$AB$294, 'MASTER LIST'!$A$2:$A$294=$A9), """"), 0)), ""Y"", """"))"),"")</f>
        <v/>
      </c>
      <c r="S9" s="92" t="str">
        <f>IFERROR(__xludf.DUMMYFUNCTION("IF(OR($A9="""", S$5=""""), """", IF(ISNUMBER(MATCH(S$5, IFERROR(FILTER('MASTER LIST'!$N$2:$AB$294, 'MASTER LIST'!$A$2:$A$294=$A9), """"), 0)), ""Y"", """"))"),"")</f>
        <v/>
      </c>
      <c r="T9" s="92" t="str">
        <f>IFERROR(__xludf.DUMMYFUNCTION("IF(OR($A9="""", T$5=""""), """", IF(ISNUMBER(MATCH(T$5, IFERROR(FILTER('MASTER LIST'!$N$2:$AB$294, 'MASTER LIST'!$A$2:$A$294=$A9), """"), 0)), ""Y"", """"))"),"")</f>
        <v/>
      </c>
      <c r="U9" s="92" t="str">
        <f>IFERROR(__xludf.DUMMYFUNCTION("IF(OR($A9="""", U$5=""""), """", IF(ISNUMBER(MATCH(U$5, IFERROR(FILTER('MASTER LIST'!$N$2:$AB$294, 'MASTER LIST'!$A$2:$A$294=$A9), """"), 0)), ""Y"", """"))"),"")</f>
        <v/>
      </c>
      <c r="V9" s="92" t="str">
        <f>IFERROR(__xludf.DUMMYFUNCTION("IF(OR($A9="""", V$5=""""), """", IF(ISNUMBER(MATCH(V$5, IFERROR(FILTER('MASTER LIST'!$N$2:$AB$294, 'MASTER LIST'!$A$2:$A$294=$A9), """"), 0)), ""Y"", """"))"),"")</f>
        <v/>
      </c>
      <c r="W9" s="92" t="str">
        <f>IFERROR(__xludf.DUMMYFUNCTION("IF(OR($A9="""", W$5=""""), """", IF(ISNUMBER(MATCH(W$5, IFERROR(FILTER('MASTER LIST'!$N$2:$AB$294, 'MASTER LIST'!$A$2:$A$294=$A9), """"), 0)), ""Y"", """"))"),"")</f>
        <v/>
      </c>
      <c r="X9" s="92" t="str">
        <f>IFERROR(__xludf.DUMMYFUNCTION("IF(OR($A9="""", X$5=""""), """", IF(ISNUMBER(MATCH(X$5, IFERROR(FILTER('MASTER LIST'!$N$2:$AB$294, 'MASTER LIST'!$A$2:$A$294=$A9), """"), 0)), ""Y"", """"))"),"")</f>
        <v/>
      </c>
      <c r="Y9" s="92" t="str">
        <f>IFERROR(__xludf.DUMMYFUNCTION("IF(OR($A9="""", Y$5=""""), """", IF(ISNUMBER(MATCH(Y$5, IFERROR(FILTER('MASTER LIST'!$N$2:$AB$294, 'MASTER LIST'!$A$2:$A$294=$A9), """"), 0)), ""Y"", """"))"),"")</f>
        <v/>
      </c>
      <c r="Z9" s="92" t="str">
        <f>IFERROR(__xludf.DUMMYFUNCTION("IF(OR($A9="""", Z$5=""""), """", IF(ISNUMBER(MATCH(Z$5, IFERROR(FILTER('MASTER LIST'!$N$2:$AB$294, 'MASTER LIST'!$A$2:$A$294=$A9), """"), 0)), ""Y"", """"))"),"")</f>
        <v/>
      </c>
      <c r="AA9" s="92" t="str">
        <f>IFERROR(__xludf.DUMMYFUNCTION("IF(OR($A9="""", AA$5=""""), """", IF(ISNUMBER(MATCH(AA$5, IFERROR(FILTER('MASTER LIST'!$N$2:$AB$294, 'MASTER LIST'!$A$2:$A$294=$A9), """"), 0)), ""Y"", """"))"),"")</f>
        <v/>
      </c>
      <c r="AB9" s="92" t="str">
        <f>IFERROR(__xludf.DUMMYFUNCTION("IF(OR($A9="""", AB$5=""""), """", IF(ISNUMBER(MATCH(AB$5, IFERROR(FILTER('MASTER LIST'!$N$2:$AB$294, 'MASTER LIST'!$A$2:$A$294=$A9), """"), 0)), ""Y"", """"))"),"")</f>
        <v/>
      </c>
      <c r="AC9" s="92" t="str">
        <f>IFERROR(__xludf.DUMMYFUNCTION("IF(OR($A9="""", AC$5=""""), """", IF(ISNUMBER(MATCH(AC$5, IFERROR(FILTER('MASTER LIST'!$N$2:$AB$294, 'MASTER LIST'!$A$2:$A$294=$A9), """"), 0)), ""Y"", """"))"),"")</f>
        <v/>
      </c>
      <c r="AD9" s="92" t="str">
        <f>IFERROR(__xludf.DUMMYFUNCTION("IF(OR($A9="""", AD$5=""""), """", IF(ISNUMBER(MATCH(AD$5, IFERROR(FILTER('MASTER LIST'!$N$2:$AB$294, 'MASTER LIST'!$A$2:$A$294=$A9), """"), 0)), ""Y"", """"))"),"")</f>
        <v/>
      </c>
      <c r="AE9" s="92" t="str">
        <f>IFERROR(__xludf.DUMMYFUNCTION("IF(OR($A9="""", AE$5=""""), """", IF(ISNUMBER(MATCH(AE$5, IFERROR(FILTER('MASTER LIST'!$N$2:$AB$294, 'MASTER LIST'!$A$2:$A$294=$A9), """"), 0)), ""Y"", """"))"),"")</f>
        <v/>
      </c>
      <c r="AF9" s="92" t="str">
        <f>IFERROR(__xludf.DUMMYFUNCTION("IF(OR($A9="""", AF$5=""""), """", IF(ISNUMBER(MATCH(AF$5, IFERROR(FILTER('MASTER LIST'!$N$2:$AB$294, 'MASTER LIST'!$A$2:$A$294=$A9), """"), 0)), ""Y"", """"))"),"")</f>
        <v/>
      </c>
      <c r="AG9" s="92" t="str">
        <f>IFERROR(__xludf.DUMMYFUNCTION("IF(OR($A9="""", AG$5=""""), """", IF(ISNUMBER(MATCH(AG$5, IFERROR(FILTER('MASTER LIST'!$N$2:$AB$294, 'MASTER LIST'!$A$2:$A$294=$A9), """"), 0)), ""Y"", """"))"),"")</f>
        <v/>
      </c>
      <c r="AH9" s="92" t="str">
        <f>IFERROR(__xludf.DUMMYFUNCTION("IF(OR($A9="""", AH$5=""""), """", IF(ISNUMBER(MATCH(AH$5, IFERROR(FILTER('MASTER LIST'!$N$2:$AB$294, 'MASTER LIST'!$A$2:$A$294=$A9), """"), 0)), ""Y"", """"))"),"")</f>
        <v/>
      </c>
      <c r="AI9" s="92" t="str">
        <f>IFERROR(__xludf.DUMMYFUNCTION("IF(OR($A9="""", AI$5=""""), """", IF(ISNUMBER(MATCH(AI$5, IFERROR(FILTER('MASTER LIST'!$N$2:$AB$294, 'MASTER LIST'!$A$2:$A$294=$A9), """"), 0)), ""Y"", """"))"),"")</f>
        <v/>
      </c>
      <c r="AJ9" s="92" t="str">
        <f>IFERROR(__xludf.DUMMYFUNCTION("IF(OR($A9="""", AJ$5=""""), """", IF(ISNUMBER(MATCH(AJ$5, IFERROR(FILTER('MASTER LIST'!$N$2:$AB$294, 'MASTER LIST'!$A$2:$A$294=$A9), """"), 0)), ""Y"", """"))"),"")</f>
        <v/>
      </c>
      <c r="AK9" s="92" t="str">
        <f>IFERROR(__xludf.DUMMYFUNCTION("IF(OR($A9="""", AK$5=""""), """", IF(ISNUMBER(MATCH(AK$5, IFERROR(FILTER('MASTER LIST'!$N$2:$AB$294, 'MASTER LIST'!$A$2:$A$294=$A9), """"), 0)), ""Y"", """"))"),"")</f>
        <v/>
      </c>
      <c r="AL9" s="92" t="str">
        <f>IFERROR(__xludf.DUMMYFUNCTION("IF(OR($A9="""", AL$5=""""), """", IF(ISNUMBER(MATCH(AL$5, IFERROR(FILTER('MASTER LIST'!$N$2:$AB$294, 'MASTER LIST'!$A$2:$A$294=$A9), """"), 0)), ""Y"", """"))"),"")</f>
        <v/>
      </c>
      <c r="AM9" s="92" t="str">
        <f>IFERROR(__xludf.DUMMYFUNCTION("IF(OR($A9="""", AM$5=""""), """", IF(ISNUMBER(MATCH(AM$5, IFERROR(FILTER('MASTER LIST'!$N$2:$AB$294, 'MASTER LIST'!$A$2:$A$294=$A9), """"), 0)), ""Y"", """"))"),"")</f>
        <v/>
      </c>
      <c r="AN9" s="92" t="str">
        <f>IFERROR(__xludf.DUMMYFUNCTION("IF(OR($A9="""", AN$5=""""), """", IF(ISNUMBER(MATCH(AN$5, IFERROR(FILTER('MASTER LIST'!$N$2:$AB$294, 'MASTER LIST'!$A$2:$A$294=$A9), """"), 0)), ""Y"", """"))"),"")</f>
        <v/>
      </c>
      <c r="AO9" s="92" t="str">
        <f>IFERROR(__xludf.DUMMYFUNCTION("IF(OR($A9="""", AO$5=""""), """", IF(ISNUMBER(MATCH(AO$5, IFERROR(FILTER('MASTER LIST'!$N$2:$AB$294, 'MASTER LIST'!$A$2:$A$294=$A9), """"), 0)), ""Y"", """"))"),"")</f>
        <v/>
      </c>
      <c r="AP9" s="92" t="str">
        <f>IFERROR(__xludf.DUMMYFUNCTION("IF(OR($A9="""", AP$5=""""), """", IF(ISNUMBER(MATCH(AP$5, IFERROR(FILTER('MASTER LIST'!$N$2:$AB$294, 'MASTER LIST'!$A$2:$A$294=$A9), """"), 0)), ""Y"", """"))"),"")</f>
        <v/>
      </c>
      <c r="AQ9" s="92" t="str">
        <f>IFERROR(__xludf.DUMMYFUNCTION("IF(OR($A9="""", AQ$5=""""), """", IF(ISNUMBER(MATCH(AQ$5, IFERROR(FILTER('MASTER LIST'!$N$2:$AB$294, 'MASTER LIST'!$A$2:$A$294=$A9), """"), 0)), ""Y"", """"))"),"")</f>
        <v/>
      </c>
      <c r="AR9" s="92" t="str">
        <f>IFERROR(__xludf.DUMMYFUNCTION("IF(OR($A9="""", AR$5=""""), """", IF(ISNUMBER(MATCH(AR$5, IFERROR(FILTER('MASTER LIST'!$N$2:$AB$294, 'MASTER LIST'!$A$2:$A$294=$A9), """"), 0)), ""Y"", """"))"),"")</f>
        <v/>
      </c>
      <c r="AS9" s="92" t="str">
        <f>IFERROR(__xludf.DUMMYFUNCTION("IF(OR($A9="""", AS$5=""""), """", IF(ISNUMBER(MATCH(AS$5, IFERROR(FILTER('MASTER LIST'!$N$2:$AB$294, 'MASTER LIST'!$A$2:$A$294=$A9), """"), 0)), ""Y"", """"))"),"")</f>
        <v/>
      </c>
      <c r="AT9" s="92" t="str">
        <f>IFERROR(__xludf.DUMMYFUNCTION("IF(OR($A9="""", AT$5=""""), """", IF(ISNUMBER(MATCH(AT$5, IFERROR(FILTER('MASTER LIST'!$N$2:$AB$294, 'MASTER LIST'!$A$2:$A$294=$A9), """"), 0)), ""Y"", """"))"),"")</f>
        <v/>
      </c>
      <c r="AU9" s="92" t="str">
        <f>IFERROR(__xludf.DUMMYFUNCTION("IF(OR($A9="""", AU$5=""""), """", IF(ISNUMBER(MATCH(AU$5, IFERROR(FILTER('MASTER LIST'!$N$2:$AB$294, 'MASTER LIST'!$A$2:$A$294=$A9), """"), 0)), ""Y"", """"))"),"")</f>
        <v/>
      </c>
      <c r="AV9" s="92" t="str">
        <f>IFERROR(__xludf.DUMMYFUNCTION("IF(OR($A9="""", AV$5=""""), """", IF(ISNUMBER(MATCH(AV$5, IFERROR(FILTER('MASTER LIST'!$N$2:$AB$294, 'MASTER LIST'!$A$2:$A$294=$A9), """"), 0)), ""Y"", """"))"),"")</f>
        <v/>
      </c>
      <c r="AW9" s="92" t="str">
        <f>IFERROR(__xludf.DUMMYFUNCTION("IF(OR($A9="""", AW$5=""""), """", IF(ISNUMBER(MATCH(AW$5, IFERROR(FILTER('MASTER LIST'!$N$2:$AB$294, 'MASTER LIST'!$A$2:$A$294=$A9), """"), 0)), ""Y"", """"))"),"")</f>
        <v/>
      </c>
      <c r="AX9" s="92" t="str">
        <f>IFERROR(__xludf.DUMMYFUNCTION("IF(OR($A9="""", AX$5=""""), """", IF(ISNUMBER(MATCH(AX$5, IFERROR(FILTER('MASTER LIST'!$N$2:$AB$294, 'MASTER LIST'!$A$2:$A$294=$A9), """"), 0)), ""Y"", """"))"),"")</f>
        <v/>
      </c>
      <c r="AY9" s="92" t="str">
        <f>IFERROR(__xludf.DUMMYFUNCTION("IF(OR($A9="""", AY$5=""""), """", IF(ISNUMBER(MATCH(AY$5, IFERROR(FILTER('MASTER LIST'!$N$2:$AB$294, 'MASTER LIST'!$A$2:$A$294=$A9), """"), 0)), ""Y"", """"))"),"")</f>
        <v/>
      </c>
      <c r="AZ9" s="92" t="str">
        <f>IFERROR(__xludf.DUMMYFUNCTION("IF(OR($A9="""", AZ$5=""""), """", IF(ISNUMBER(MATCH(AZ$5, IFERROR(FILTER('MASTER LIST'!$N$2:$AB$294, 'MASTER LIST'!$A$2:$A$294=$A9), """"), 0)), ""Y"", """"))"),"")</f>
        <v/>
      </c>
      <c r="BA9" s="92" t="str">
        <f>IFERROR(__xludf.DUMMYFUNCTION("IF(OR($A9="""", BA$5=""""), """", IF(ISNUMBER(MATCH(BA$5, IFERROR(FILTER('MASTER LIST'!$N$2:$AB$294, 'MASTER LIST'!$A$2:$A$294=$A9), """"), 0)), ""Y"", """"))"),"")</f>
        <v/>
      </c>
      <c r="BB9" s="92" t="str">
        <f>IFERROR(__xludf.DUMMYFUNCTION("IF(OR($A9="""", BB$5=""""), """", IF(ISNUMBER(MATCH(BB$5, IFERROR(FILTER('MASTER LIST'!$N$2:$AB$294, 'MASTER LIST'!$A$2:$A$294=$A9), """"), 0)), ""Y"", """"))"),"")</f>
        <v/>
      </c>
      <c r="BC9" s="92" t="str">
        <f>IFERROR(__xludf.DUMMYFUNCTION("IF(OR($A9="""", BC$5=""""), """", IF(ISNUMBER(MATCH(BC$5, IFERROR(FILTER('MASTER LIST'!$N$2:$AB$294, 'MASTER LIST'!$A$2:$A$294=$A9), """"), 0)), ""Y"", """"))"),"")</f>
        <v/>
      </c>
      <c r="BD9" s="92" t="str">
        <f>IFERROR(__xludf.DUMMYFUNCTION("IF(OR($A9="""", BD$5=""""), """", IF(ISNUMBER(MATCH(BD$5, IFERROR(FILTER('MASTER LIST'!$N$2:$AB$294, 'MASTER LIST'!$A$2:$A$294=$A9), """"), 0)), ""Y"", """"))"),"")</f>
        <v/>
      </c>
      <c r="BE9" s="92" t="str">
        <f>IFERROR(__xludf.DUMMYFUNCTION("IF(OR($A9="""", BE$5=""""), """", IF(ISNUMBER(MATCH(BE$5, IFERROR(FILTER('MASTER LIST'!$N$2:$AB$294, 'MASTER LIST'!$A$2:$A$294=$A9), """"), 0)), ""Y"", """"))"),"")</f>
        <v/>
      </c>
      <c r="BF9" s="92" t="str">
        <f>IFERROR(__xludf.DUMMYFUNCTION("IF(OR($A9="""", BF$5=""""), """", IF(ISNUMBER(MATCH(BF$5, IFERROR(FILTER('MASTER LIST'!$N$2:$AB$294, 'MASTER LIST'!$A$2:$A$294=$A9), """"), 0)), ""Y"", """"))"),"")</f>
        <v/>
      </c>
      <c r="BG9" s="92" t="str">
        <f>IFERROR(__xludf.DUMMYFUNCTION("IF(OR($A9="""", BG$5=""""), """", IF(ISNUMBER(MATCH(BG$5, IFERROR(FILTER('MASTER LIST'!$N$2:$AB$294, 'MASTER LIST'!$A$2:$A$294=$A9), """"), 0)), ""Y"", """"))"),"")</f>
        <v/>
      </c>
      <c r="BH9" s="92" t="str">
        <f>IFERROR(__xludf.DUMMYFUNCTION("IF(OR($A9="""", BH$5=""""), """", IF(ISNUMBER(MATCH(BH$5, IFERROR(FILTER('MASTER LIST'!$N$2:$AB$294, 'MASTER LIST'!$A$2:$A$294=$A9), """"), 0)), ""Y"", """"))"),"")</f>
        <v/>
      </c>
      <c r="BI9" s="92" t="str">
        <f>IFERROR(__xludf.DUMMYFUNCTION("IF(OR($A9="""", BI$5=""""), """", IF(ISNUMBER(MATCH(BI$5, IFERROR(FILTER('MASTER LIST'!$N$2:$AB$294, 'MASTER LIST'!$A$2:$A$294=$A9), """"), 0)), ""Y"", """"))"),"")</f>
        <v/>
      </c>
      <c r="BJ9" s="92" t="str">
        <f>IFERROR(__xludf.DUMMYFUNCTION("IF(OR($A9="""", BJ$5=""""), """", IF(ISNUMBER(MATCH(BJ$5, IFERROR(FILTER('MASTER LIST'!$N$2:$AB$294, 'MASTER LIST'!$A$2:$A$294=$A9), """"), 0)), ""Y"", """"))"),"")</f>
        <v/>
      </c>
      <c r="BK9" s="92" t="str">
        <f>IFERROR(__xludf.DUMMYFUNCTION("IF(OR($A9="""", BK$5=""""), """", IF(ISNUMBER(MATCH(BK$5, IFERROR(FILTER('MASTER LIST'!$N$2:$AB$294, 'MASTER LIST'!$A$2:$A$294=$A9), """"), 0)), ""Y"", """"))"),"")</f>
        <v/>
      </c>
      <c r="BL9" s="92" t="str">
        <f>IFERROR(__xludf.DUMMYFUNCTION("IF(OR($A9="""", BL$5=""""), """", IF(ISNUMBER(MATCH(BL$5, IFERROR(FILTER('MASTER LIST'!$N$2:$AB$294, 'MASTER LIST'!$A$2:$A$294=$A9), """"), 0)), ""Y"", """"))"),"")</f>
        <v/>
      </c>
      <c r="BM9" s="92" t="str">
        <f>IFERROR(__xludf.DUMMYFUNCTION("IF(OR($A9="""", BM$5=""""), """", IF(ISNUMBER(MATCH(BM$5, IFERROR(FILTER('MASTER LIST'!$N$2:$AB$294, 'MASTER LIST'!$A$2:$A$294=$A9), """"), 0)), ""Y"", """"))"),"")</f>
        <v/>
      </c>
      <c r="BN9" s="92" t="str">
        <f>IFERROR(__xludf.DUMMYFUNCTION("IF(OR($A9="""", BN$5=""""), """", IF(ISNUMBER(MATCH(BN$5, IFERROR(FILTER('MASTER LIST'!$N$2:$AB$294, 'MASTER LIST'!$A$2:$A$294=$A9), """"), 0)), ""Y"", """"))"),"")</f>
        <v/>
      </c>
      <c r="BO9" s="92" t="str">
        <f>IFERROR(__xludf.DUMMYFUNCTION("IF(OR($A9="""", BO$5=""""), """", IF(ISNUMBER(MATCH(BO$5, IFERROR(FILTER('MASTER LIST'!$N$2:$AB$294, 'MASTER LIST'!$A$2:$A$294=$A9), """"), 0)), ""Y"", """"))"),"")</f>
        <v/>
      </c>
      <c r="BP9" s="92" t="str">
        <f>IFERROR(__xludf.DUMMYFUNCTION("IF(OR($A9="""", BP$5=""""), """", IF(ISNUMBER(MATCH(BP$5, IFERROR(FILTER('MASTER LIST'!$N$2:$AB$294, 'MASTER LIST'!$A$2:$A$294=$A9), """"), 0)), ""Y"", """"))"),"")</f>
        <v/>
      </c>
      <c r="BQ9" s="92" t="str">
        <f>IFERROR(__xludf.DUMMYFUNCTION("IF(OR($A9="""", BQ$5=""""), """", IF(ISNUMBER(MATCH(BQ$5, IFERROR(FILTER('MASTER LIST'!$N$2:$AB$294, 'MASTER LIST'!$A$2:$A$294=$A9), """"), 0)), ""Y"", """"))"),"")</f>
        <v/>
      </c>
      <c r="BR9" s="92" t="str">
        <f>IFERROR(__xludf.DUMMYFUNCTION("IF(OR($A9="""", BR$5=""""), """", IF(ISNUMBER(MATCH(BR$5, IFERROR(FILTER('MASTER LIST'!$N$2:$AB$294, 'MASTER LIST'!$A$2:$A$294=$A9), """"), 0)), ""Y"", """"))"),"")</f>
        <v/>
      </c>
      <c r="BS9" s="92" t="str">
        <f>IFERROR(__xludf.DUMMYFUNCTION("IF(OR($A9="""", BS$5=""""), """", IF(ISNUMBER(MATCH(BS$5, IFERROR(FILTER('MASTER LIST'!$N$2:$AB$294, 'MASTER LIST'!$A$2:$A$294=$A9), """"), 0)), ""Y"", """"))"),"")</f>
        <v/>
      </c>
      <c r="BT9" s="92" t="str">
        <f>IFERROR(__xludf.DUMMYFUNCTION("IF(OR($A9="""", BT$5=""""), """", IF(ISNUMBER(MATCH(BT$5, IFERROR(FILTER('MASTER LIST'!$N$2:$AB$294, 'MASTER LIST'!$A$2:$A$294=$A9), """"), 0)), ""Y"", """"))"),"")</f>
        <v/>
      </c>
      <c r="BU9" s="92" t="str">
        <f>IFERROR(__xludf.DUMMYFUNCTION("IF(OR($A9="""", BU$5=""""), """", IF(ISNUMBER(MATCH(BU$5, IFERROR(FILTER('MASTER LIST'!$N$2:$AB$294, 'MASTER LIST'!$A$2:$A$294=$A9), """"), 0)), ""Y"", """"))"),"")</f>
        <v/>
      </c>
      <c r="BV9" s="92" t="str">
        <f>IFERROR(__xludf.DUMMYFUNCTION("IF(OR($A9="""", BV$5=""""), """", IF(ISNUMBER(MATCH(BV$5, IFERROR(FILTER('MASTER LIST'!$N$2:$AB$294, 'MASTER LIST'!$A$2:$A$294=$A9), """"), 0)), ""Y"", """"))"),"")</f>
        <v/>
      </c>
      <c r="BW9" s="92" t="str">
        <f>IFERROR(__xludf.DUMMYFUNCTION("IF(OR($A9="""", BW$5=""""), """", IF(ISNUMBER(MATCH(BW$5, IFERROR(FILTER('MASTER LIST'!$N$2:$AB$294, 'MASTER LIST'!$A$2:$A$294=$A9), """"), 0)), ""Y"", """"))"),"")</f>
        <v/>
      </c>
      <c r="BX9" s="92" t="str">
        <f>IFERROR(__xludf.DUMMYFUNCTION("IF(OR($A9="""", BX$5=""""), """", IF(ISNUMBER(MATCH(BX$5, IFERROR(FILTER('MASTER LIST'!$N$2:$AB$294, 'MASTER LIST'!$A$2:$A$294=$A9), """"), 0)), ""Y"", """"))"),"")</f>
        <v/>
      </c>
      <c r="BY9" s="92" t="str">
        <f>IFERROR(__xludf.DUMMYFUNCTION("IF(OR($A9="""", BY$5=""""), """", IF(ISNUMBER(MATCH(BY$5, IFERROR(FILTER('MASTER LIST'!$N$2:$AB$294, 'MASTER LIST'!$A$2:$A$294=$A9), """"), 0)), ""Y"", """"))"),"")</f>
        <v/>
      </c>
      <c r="BZ9" s="92" t="str">
        <f>IFERROR(__xludf.DUMMYFUNCTION("IF(OR($A9="""", BZ$5=""""), """", IF(ISNUMBER(MATCH(BZ$5, IFERROR(FILTER('MASTER LIST'!$N$2:$AB$294, 'MASTER LIST'!$A$2:$A$294=$A9), """"), 0)), ""Y"", """"))"),"")</f>
        <v/>
      </c>
      <c r="CA9" s="92" t="str">
        <f>IFERROR(__xludf.DUMMYFUNCTION("IF(OR($A9="""", CA$5=""""), """", IF(ISNUMBER(MATCH(CA$5, IFERROR(FILTER('MASTER LIST'!$N$2:$AB$294, 'MASTER LIST'!$A$2:$A$294=$A9), """"), 0)), ""Y"", """"))"),"")</f>
        <v/>
      </c>
      <c r="CB9" s="92" t="str">
        <f>IFERROR(__xludf.DUMMYFUNCTION("IF(OR($A9="""", CB$5=""""), """", IF(ISNUMBER(MATCH(CB$5, IFERROR(FILTER('MASTER LIST'!$N$2:$AB$294, 'MASTER LIST'!$A$2:$A$294=$A9), """"), 0)), ""Y"", """"))"),"")</f>
        <v/>
      </c>
      <c r="CC9" s="92"/>
      <c r="CD9" s="92"/>
      <c r="CE9" s="92"/>
      <c r="CF9" s="92"/>
      <c r="CG9" s="92"/>
      <c r="CH9" s="92"/>
      <c r="CI9" s="92"/>
      <c r="CJ9" s="92"/>
      <c r="CK9" s="92"/>
    </row>
    <row r="10">
      <c r="A10" s="75">
        <f>IFERROR(__xludf.DUMMYFUNCTION("""COMPUTED_VALUE"""),266.0)</f>
        <v>266</v>
      </c>
      <c r="B10" s="75" t="str">
        <f>IFERROR(__xludf.DUMMYFUNCTION("""COMPUTED_VALUE"""),"MUHAMMAD ADNAN")</f>
        <v>MUHAMMAD ADNAN</v>
      </c>
      <c r="C10" s="75">
        <f>IFERROR(__xludf.DUMMYFUNCTION("""COMPUTED_VALUE"""),5.0)</f>
        <v>5</v>
      </c>
      <c r="D10" s="75" t="str">
        <f>IFERROR(__xludf.DUMMYFUNCTION("""COMPUTED_VALUE"""),"THĀNIYAH")</f>
        <v>THĀNIYAH</v>
      </c>
      <c r="E10" s="75" t="str">
        <f>IFERROR(__xludf.DUMMYFUNCTION("""COMPUTED_VALUE"""),"TEAM C")</f>
        <v>TEAM C</v>
      </c>
      <c r="F10" s="75" t="str">
        <f>IFERROR(__xludf.DUMMYFUNCTION("""COMPUTED_VALUE"""),"Min 1 Required (Stage &amp; Non-Stage)")</f>
        <v>Min 1 Required (Stage &amp; Non-Stage)</v>
      </c>
      <c r="G10" s="91" t="str">
        <f>IFERROR(__xludf.DUMMYFUNCTION("IF(OR($A10="""", G$5=""""), """", IF(ISNUMBER(MATCH(G$5, IFERROR(FILTER('MASTER LIST'!$N$2:$AB$294, 'MASTER LIST'!$A$2:$A$294=$A10), """"), 0)), ""Y"", """"))"),"")</f>
        <v/>
      </c>
      <c r="H10" s="92" t="str">
        <f>IFERROR(__xludf.DUMMYFUNCTION("IF(OR($A10="""", H$5=""""), """", IF(ISNUMBER(MATCH(H$5, IFERROR(FILTER('MASTER LIST'!$N$2:$AB$294, 'MASTER LIST'!$A$2:$A$294=$A10), """"), 0)), ""Y"", """"))"),"")</f>
        <v/>
      </c>
      <c r="I10" s="91" t="str">
        <f>IFERROR(__xludf.DUMMYFUNCTION("IF(OR($A10="""", I$5=""""), """", IF(ISNUMBER(MATCH(I$5, IFERROR(FILTER('MASTER LIST'!$N$2:$AB$294, 'MASTER LIST'!$A$2:$A$294=$A10), """"), 0)), ""Y"", """"))"),"")</f>
        <v/>
      </c>
      <c r="J10" s="92" t="str">
        <f>IFERROR(__xludf.DUMMYFUNCTION("IF(OR($A10="""", J$5=""""), """", IF(ISNUMBER(MATCH(J$5, IFERROR(FILTER('MASTER LIST'!$N$2:$AB$294, 'MASTER LIST'!$A$2:$A$294=$A10), """"), 0)), ""Y"", """"))"),"")</f>
        <v/>
      </c>
      <c r="K10" s="92" t="str">
        <f>IFERROR(__xludf.DUMMYFUNCTION("IF(OR($A10="""", K$5=""""), """", IF(ISNUMBER(MATCH(K$5, IFERROR(FILTER('MASTER LIST'!$N$2:$W$294, 'MASTER LIST'!$A$2:$A$294=$A10), """"), 0)), ""Y"", """"))"),"")</f>
        <v/>
      </c>
      <c r="L10" s="92" t="str">
        <f>IFERROR(__xludf.DUMMYFUNCTION("IF(OR($A10="""", L$5=""""), """", IF(ISNUMBER(MATCH(L$5, IFERROR(FILTER('MASTER LIST'!$N$2:$W$294, 'MASTER LIST'!$A$2:$A$294=$A10), """"), 0)), ""Y"", """"))"),"")</f>
        <v/>
      </c>
      <c r="M10" s="92" t="str">
        <f>IFERROR(__xludf.DUMMYFUNCTION("IF(OR($A10="""", M$5=""""), """", IF(ISNUMBER(MATCH(M$5, IFERROR(FILTER('MASTER LIST'!$N$2:$W$294, 'MASTER LIST'!$A$2:$A$294=$A10), """"), 0)), ""Y"", """"))"),"")</f>
        <v/>
      </c>
      <c r="N10" s="92" t="str">
        <f>IFERROR(__xludf.DUMMYFUNCTION("IF(OR($A10="""", N$5=""""), """", IF(ISNUMBER(MATCH(N$5, IFERROR(FILTER('MASTER LIST'!$N$2:$W$294, 'MASTER LIST'!$A$2:$A$294=$A10), """"), 0)), ""Y"", """"))"),"")</f>
        <v/>
      </c>
      <c r="O10" s="92" t="str">
        <f>IFERROR(__xludf.DUMMYFUNCTION("IF(OR($A10="""", O$5=""""), """", IF(ISNUMBER(MATCH(O$5, IFERROR(FILTER('MASTER LIST'!$N$2:$W$294, 'MASTER LIST'!$A$2:$A$294=$A10), """"), 0)), ""Y"", """"))"),"")</f>
        <v/>
      </c>
      <c r="P10" s="92" t="str">
        <f>IFERROR(__xludf.DUMMYFUNCTION("IF(OR($A10="""", P$5=""""), """", IF(ISNUMBER(MATCH(P$5, IFERROR(FILTER('MASTER LIST'!$N$2:$AB$294, 'MASTER LIST'!$A$2:$A$294=$A10), """"), 0)), ""Y"", """"))"),"")</f>
        <v/>
      </c>
      <c r="Q10" s="92" t="str">
        <f>IFERROR(__xludf.DUMMYFUNCTION("IF(OR($A10="""", Q$5=""""), """", IF(ISNUMBER(MATCH(Q$5, IFERROR(FILTER('MASTER LIST'!$N$2:$AB$294, 'MASTER LIST'!$A$2:$A$294=$A10), """"), 0)), ""Y"", """"))"),"")</f>
        <v/>
      </c>
      <c r="R10" s="92" t="str">
        <f>IFERROR(__xludf.DUMMYFUNCTION("IF(OR($A10="""", R$5=""""), """", IF(ISNUMBER(MATCH(R$5, IFERROR(FILTER('MASTER LIST'!$N$2:$AB$294, 'MASTER LIST'!$A$2:$A$294=$A10), """"), 0)), ""Y"", """"))"),"")</f>
        <v/>
      </c>
      <c r="S10" s="92" t="str">
        <f>IFERROR(__xludf.DUMMYFUNCTION("IF(OR($A10="""", S$5=""""), """", IF(ISNUMBER(MATCH(S$5, IFERROR(FILTER('MASTER LIST'!$N$2:$AB$294, 'MASTER LIST'!$A$2:$A$294=$A10), """"), 0)), ""Y"", """"))"),"")</f>
        <v/>
      </c>
      <c r="T10" s="92" t="str">
        <f>IFERROR(__xludf.DUMMYFUNCTION("IF(OR($A10="""", T$5=""""), """", IF(ISNUMBER(MATCH(T$5, IFERROR(FILTER('MASTER LIST'!$N$2:$AB$294, 'MASTER LIST'!$A$2:$A$294=$A10), """"), 0)), ""Y"", """"))"),"")</f>
        <v/>
      </c>
      <c r="U10" s="92" t="str">
        <f>IFERROR(__xludf.DUMMYFUNCTION("IF(OR($A10="""", U$5=""""), """", IF(ISNUMBER(MATCH(U$5, IFERROR(FILTER('MASTER LIST'!$N$2:$AB$294, 'MASTER LIST'!$A$2:$A$294=$A10), """"), 0)), ""Y"", """"))"),"")</f>
        <v/>
      </c>
      <c r="V10" s="92" t="str">
        <f>IFERROR(__xludf.DUMMYFUNCTION("IF(OR($A10="""", V$5=""""), """", IF(ISNUMBER(MATCH(V$5, IFERROR(FILTER('MASTER LIST'!$N$2:$AB$294, 'MASTER LIST'!$A$2:$A$294=$A10), """"), 0)), ""Y"", """"))"),"")</f>
        <v/>
      </c>
      <c r="W10" s="92" t="str">
        <f>IFERROR(__xludf.DUMMYFUNCTION("IF(OR($A10="""", W$5=""""), """", IF(ISNUMBER(MATCH(W$5, IFERROR(FILTER('MASTER LIST'!$N$2:$AB$294, 'MASTER LIST'!$A$2:$A$294=$A10), """"), 0)), ""Y"", """"))"),"")</f>
        <v/>
      </c>
      <c r="X10" s="92" t="str">
        <f>IFERROR(__xludf.DUMMYFUNCTION("IF(OR($A10="""", X$5=""""), """", IF(ISNUMBER(MATCH(X$5, IFERROR(FILTER('MASTER LIST'!$N$2:$AB$294, 'MASTER LIST'!$A$2:$A$294=$A10), """"), 0)), ""Y"", """"))"),"")</f>
        <v/>
      </c>
      <c r="Y10" s="92" t="str">
        <f>IFERROR(__xludf.DUMMYFUNCTION("IF(OR($A10="""", Y$5=""""), """", IF(ISNUMBER(MATCH(Y$5, IFERROR(FILTER('MASTER LIST'!$N$2:$AB$294, 'MASTER LIST'!$A$2:$A$294=$A10), """"), 0)), ""Y"", """"))"),"")</f>
        <v/>
      </c>
      <c r="Z10" s="92" t="str">
        <f>IFERROR(__xludf.DUMMYFUNCTION("IF(OR($A10="""", Z$5=""""), """", IF(ISNUMBER(MATCH(Z$5, IFERROR(FILTER('MASTER LIST'!$N$2:$AB$294, 'MASTER LIST'!$A$2:$A$294=$A10), """"), 0)), ""Y"", """"))"),"")</f>
        <v/>
      </c>
      <c r="AA10" s="92" t="str">
        <f>IFERROR(__xludf.DUMMYFUNCTION("IF(OR($A10="""", AA$5=""""), """", IF(ISNUMBER(MATCH(AA$5, IFERROR(FILTER('MASTER LIST'!$N$2:$AB$294, 'MASTER LIST'!$A$2:$A$294=$A10), """"), 0)), ""Y"", """"))"),"")</f>
        <v/>
      </c>
      <c r="AB10" s="92" t="str">
        <f>IFERROR(__xludf.DUMMYFUNCTION("IF(OR($A10="""", AB$5=""""), """", IF(ISNUMBER(MATCH(AB$5, IFERROR(FILTER('MASTER LIST'!$N$2:$AB$294, 'MASTER LIST'!$A$2:$A$294=$A10), """"), 0)), ""Y"", """"))"),"")</f>
        <v/>
      </c>
      <c r="AC10" s="92" t="str">
        <f>IFERROR(__xludf.DUMMYFUNCTION("IF(OR($A10="""", AC$5=""""), """", IF(ISNUMBER(MATCH(AC$5, IFERROR(FILTER('MASTER LIST'!$N$2:$AB$294, 'MASTER LIST'!$A$2:$A$294=$A10), """"), 0)), ""Y"", """"))"),"")</f>
        <v/>
      </c>
      <c r="AD10" s="92" t="str">
        <f>IFERROR(__xludf.DUMMYFUNCTION("IF(OR($A10="""", AD$5=""""), """", IF(ISNUMBER(MATCH(AD$5, IFERROR(FILTER('MASTER LIST'!$N$2:$AB$294, 'MASTER LIST'!$A$2:$A$294=$A10), """"), 0)), ""Y"", """"))"),"")</f>
        <v/>
      </c>
      <c r="AE10" s="92" t="str">
        <f>IFERROR(__xludf.DUMMYFUNCTION("IF(OR($A10="""", AE$5=""""), """", IF(ISNUMBER(MATCH(AE$5, IFERROR(FILTER('MASTER LIST'!$N$2:$AB$294, 'MASTER LIST'!$A$2:$A$294=$A10), """"), 0)), ""Y"", """"))"),"")</f>
        <v/>
      </c>
      <c r="AF10" s="92" t="str">
        <f>IFERROR(__xludf.DUMMYFUNCTION("IF(OR($A10="""", AF$5=""""), """", IF(ISNUMBER(MATCH(AF$5, IFERROR(FILTER('MASTER LIST'!$N$2:$AB$294, 'MASTER LIST'!$A$2:$A$294=$A10), """"), 0)), ""Y"", """"))"),"")</f>
        <v/>
      </c>
      <c r="AG10" s="92" t="str">
        <f>IFERROR(__xludf.DUMMYFUNCTION("IF(OR($A10="""", AG$5=""""), """", IF(ISNUMBER(MATCH(AG$5, IFERROR(FILTER('MASTER LIST'!$N$2:$AB$294, 'MASTER LIST'!$A$2:$A$294=$A10), """"), 0)), ""Y"", """"))"),"")</f>
        <v/>
      </c>
      <c r="AH10" s="92" t="str">
        <f>IFERROR(__xludf.DUMMYFUNCTION("IF(OR($A10="""", AH$5=""""), """", IF(ISNUMBER(MATCH(AH$5, IFERROR(FILTER('MASTER LIST'!$N$2:$AB$294, 'MASTER LIST'!$A$2:$A$294=$A10), """"), 0)), ""Y"", """"))"),"")</f>
        <v/>
      </c>
      <c r="AI10" s="92" t="str">
        <f>IFERROR(__xludf.DUMMYFUNCTION("IF(OR($A10="""", AI$5=""""), """", IF(ISNUMBER(MATCH(AI$5, IFERROR(FILTER('MASTER LIST'!$N$2:$AB$294, 'MASTER LIST'!$A$2:$A$294=$A10), """"), 0)), ""Y"", """"))"),"")</f>
        <v/>
      </c>
      <c r="AJ10" s="92" t="str">
        <f>IFERROR(__xludf.DUMMYFUNCTION("IF(OR($A10="""", AJ$5=""""), """", IF(ISNUMBER(MATCH(AJ$5, IFERROR(FILTER('MASTER LIST'!$N$2:$AB$294, 'MASTER LIST'!$A$2:$A$294=$A10), """"), 0)), ""Y"", """"))"),"")</f>
        <v/>
      </c>
      <c r="AK10" s="92" t="str">
        <f>IFERROR(__xludf.DUMMYFUNCTION("IF(OR($A10="""", AK$5=""""), """", IF(ISNUMBER(MATCH(AK$5, IFERROR(FILTER('MASTER LIST'!$N$2:$AB$294, 'MASTER LIST'!$A$2:$A$294=$A10), """"), 0)), ""Y"", """"))"),"")</f>
        <v/>
      </c>
      <c r="AL10" s="92" t="str">
        <f>IFERROR(__xludf.DUMMYFUNCTION("IF(OR($A10="""", AL$5=""""), """", IF(ISNUMBER(MATCH(AL$5, IFERROR(FILTER('MASTER LIST'!$N$2:$AB$294, 'MASTER LIST'!$A$2:$A$294=$A10), """"), 0)), ""Y"", """"))"),"")</f>
        <v/>
      </c>
      <c r="AM10" s="92" t="str">
        <f>IFERROR(__xludf.DUMMYFUNCTION("IF(OR($A10="""", AM$5=""""), """", IF(ISNUMBER(MATCH(AM$5, IFERROR(FILTER('MASTER LIST'!$N$2:$AB$294, 'MASTER LIST'!$A$2:$A$294=$A10), """"), 0)), ""Y"", """"))"),"")</f>
        <v/>
      </c>
      <c r="AN10" s="92" t="str">
        <f>IFERROR(__xludf.DUMMYFUNCTION("IF(OR($A10="""", AN$5=""""), """", IF(ISNUMBER(MATCH(AN$5, IFERROR(FILTER('MASTER LIST'!$N$2:$AB$294, 'MASTER LIST'!$A$2:$A$294=$A10), """"), 0)), ""Y"", """"))"),"")</f>
        <v/>
      </c>
      <c r="AO10" s="92" t="str">
        <f>IFERROR(__xludf.DUMMYFUNCTION("IF(OR($A10="""", AO$5=""""), """", IF(ISNUMBER(MATCH(AO$5, IFERROR(FILTER('MASTER LIST'!$N$2:$AB$294, 'MASTER LIST'!$A$2:$A$294=$A10), """"), 0)), ""Y"", """"))"),"")</f>
        <v/>
      </c>
      <c r="AP10" s="92" t="str">
        <f>IFERROR(__xludf.DUMMYFUNCTION("IF(OR($A10="""", AP$5=""""), """", IF(ISNUMBER(MATCH(AP$5, IFERROR(FILTER('MASTER LIST'!$N$2:$AB$294, 'MASTER LIST'!$A$2:$A$294=$A10), """"), 0)), ""Y"", """"))"),"")</f>
        <v/>
      </c>
      <c r="AQ10" s="92" t="str">
        <f>IFERROR(__xludf.DUMMYFUNCTION("IF(OR($A10="""", AQ$5=""""), """", IF(ISNUMBER(MATCH(AQ$5, IFERROR(FILTER('MASTER LIST'!$N$2:$AB$294, 'MASTER LIST'!$A$2:$A$294=$A10), """"), 0)), ""Y"", """"))"),"")</f>
        <v/>
      </c>
      <c r="AR10" s="92" t="str">
        <f>IFERROR(__xludf.DUMMYFUNCTION("IF(OR($A10="""", AR$5=""""), """", IF(ISNUMBER(MATCH(AR$5, IFERROR(FILTER('MASTER LIST'!$N$2:$AB$294, 'MASTER LIST'!$A$2:$A$294=$A10), """"), 0)), ""Y"", """"))"),"")</f>
        <v/>
      </c>
      <c r="AS10" s="92" t="str">
        <f>IFERROR(__xludf.DUMMYFUNCTION("IF(OR($A10="""", AS$5=""""), """", IF(ISNUMBER(MATCH(AS$5, IFERROR(FILTER('MASTER LIST'!$N$2:$AB$294, 'MASTER LIST'!$A$2:$A$294=$A10), """"), 0)), ""Y"", """"))"),"")</f>
        <v/>
      </c>
      <c r="AT10" s="92" t="str">
        <f>IFERROR(__xludf.DUMMYFUNCTION("IF(OR($A10="""", AT$5=""""), """", IF(ISNUMBER(MATCH(AT$5, IFERROR(FILTER('MASTER LIST'!$N$2:$AB$294, 'MASTER LIST'!$A$2:$A$294=$A10), """"), 0)), ""Y"", """"))"),"")</f>
        <v/>
      </c>
      <c r="AU10" s="92" t="str">
        <f>IFERROR(__xludf.DUMMYFUNCTION("IF(OR($A10="""", AU$5=""""), """", IF(ISNUMBER(MATCH(AU$5, IFERROR(FILTER('MASTER LIST'!$N$2:$AB$294, 'MASTER LIST'!$A$2:$A$294=$A10), """"), 0)), ""Y"", """"))"),"")</f>
        <v/>
      </c>
      <c r="AV10" s="92" t="str">
        <f>IFERROR(__xludf.DUMMYFUNCTION("IF(OR($A10="""", AV$5=""""), """", IF(ISNUMBER(MATCH(AV$5, IFERROR(FILTER('MASTER LIST'!$N$2:$AB$294, 'MASTER LIST'!$A$2:$A$294=$A10), """"), 0)), ""Y"", """"))"),"")</f>
        <v/>
      </c>
      <c r="AW10" s="92" t="str">
        <f>IFERROR(__xludf.DUMMYFUNCTION("IF(OR($A10="""", AW$5=""""), """", IF(ISNUMBER(MATCH(AW$5, IFERROR(FILTER('MASTER LIST'!$N$2:$AB$294, 'MASTER LIST'!$A$2:$A$294=$A10), """"), 0)), ""Y"", """"))"),"")</f>
        <v/>
      </c>
      <c r="AX10" s="92" t="str">
        <f>IFERROR(__xludf.DUMMYFUNCTION("IF(OR($A10="""", AX$5=""""), """", IF(ISNUMBER(MATCH(AX$5, IFERROR(FILTER('MASTER LIST'!$N$2:$AB$294, 'MASTER LIST'!$A$2:$A$294=$A10), """"), 0)), ""Y"", """"))"),"")</f>
        <v/>
      </c>
      <c r="AY10" s="92" t="str">
        <f>IFERROR(__xludf.DUMMYFUNCTION("IF(OR($A10="""", AY$5=""""), """", IF(ISNUMBER(MATCH(AY$5, IFERROR(FILTER('MASTER LIST'!$N$2:$AB$294, 'MASTER LIST'!$A$2:$A$294=$A10), """"), 0)), ""Y"", """"))"),"")</f>
        <v/>
      </c>
      <c r="AZ10" s="92" t="str">
        <f>IFERROR(__xludf.DUMMYFUNCTION("IF(OR($A10="""", AZ$5=""""), """", IF(ISNUMBER(MATCH(AZ$5, IFERROR(FILTER('MASTER LIST'!$N$2:$AB$294, 'MASTER LIST'!$A$2:$A$294=$A10), """"), 0)), ""Y"", """"))"),"")</f>
        <v/>
      </c>
      <c r="BA10" s="92" t="str">
        <f>IFERROR(__xludf.DUMMYFUNCTION("IF(OR($A10="""", BA$5=""""), """", IF(ISNUMBER(MATCH(BA$5, IFERROR(FILTER('MASTER LIST'!$N$2:$AB$294, 'MASTER LIST'!$A$2:$A$294=$A10), """"), 0)), ""Y"", """"))"),"")</f>
        <v/>
      </c>
      <c r="BB10" s="92" t="str">
        <f>IFERROR(__xludf.DUMMYFUNCTION("IF(OR($A10="""", BB$5=""""), """", IF(ISNUMBER(MATCH(BB$5, IFERROR(FILTER('MASTER LIST'!$N$2:$AB$294, 'MASTER LIST'!$A$2:$A$294=$A10), """"), 0)), ""Y"", """"))"),"")</f>
        <v/>
      </c>
      <c r="BC10" s="92" t="str">
        <f>IFERROR(__xludf.DUMMYFUNCTION("IF(OR($A10="""", BC$5=""""), """", IF(ISNUMBER(MATCH(BC$5, IFERROR(FILTER('MASTER LIST'!$N$2:$AB$294, 'MASTER LIST'!$A$2:$A$294=$A10), """"), 0)), ""Y"", """"))"),"")</f>
        <v/>
      </c>
      <c r="BD10" s="92" t="str">
        <f>IFERROR(__xludf.DUMMYFUNCTION("IF(OR($A10="""", BD$5=""""), """", IF(ISNUMBER(MATCH(BD$5, IFERROR(FILTER('MASTER LIST'!$N$2:$AB$294, 'MASTER LIST'!$A$2:$A$294=$A10), """"), 0)), ""Y"", """"))"),"")</f>
        <v/>
      </c>
      <c r="BE10" s="92" t="str">
        <f>IFERROR(__xludf.DUMMYFUNCTION("IF(OR($A10="""", BE$5=""""), """", IF(ISNUMBER(MATCH(BE$5, IFERROR(FILTER('MASTER LIST'!$N$2:$AB$294, 'MASTER LIST'!$A$2:$A$294=$A10), """"), 0)), ""Y"", """"))"),"")</f>
        <v/>
      </c>
      <c r="BF10" s="92" t="str">
        <f>IFERROR(__xludf.DUMMYFUNCTION("IF(OR($A10="""", BF$5=""""), """", IF(ISNUMBER(MATCH(BF$5, IFERROR(FILTER('MASTER LIST'!$N$2:$AB$294, 'MASTER LIST'!$A$2:$A$294=$A10), """"), 0)), ""Y"", """"))"),"")</f>
        <v/>
      </c>
      <c r="BG10" s="92" t="str">
        <f>IFERROR(__xludf.DUMMYFUNCTION("IF(OR($A10="""", BG$5=""""), """", IF(ISNUMBER(MATCH(BG$5, IFERROR(FILTER('MASTER LIST'!$N$2:$AB$294, 'MASTER LIST'!$A$2:$A$294=$A10), """"), 0)), ""Y"", """"))"),"")</f>
        <v/>
      </c>
      <c r="BH10" s="92" t="str">
        <f>IFERROR(__xludf.DUMMYFUNCTION("IF(OR($A10="""", BH$5=""""), """", IF(ISNUMBER(MATCH(BH$5, IFERROR(FILTER('MASTER LIST'!$N$2:$AB$294, 'MASTER LIST'!$A$2:$A$294=$A10), """"), 0)), ""Y"", """"))"),"")</f>
        <v/>
      </c>
      <c r="BI10" s="92" t="str">
        <f>IFERROR(__xludf.DUMMYFUNCTION("IF(OR($A10="""", BI$5=""""), """", IF(ISNUMBER(MATCH(BI$5, IFERROR(FILTER('MASTER LIST'!$N$2:$AB$294, 'MASTER LIST'!$A$2:$A$294=$A10), """"), 0)), ""Y"", """"))"),"")</f>
        <v/>
      </c>
      <c r="BJ10" s="92" t="str">
        <f>IFERROR(__xludf.DUMMYFUNCTION("IF(OR($A10="""", BJ$5=""""), """", IF(ISNUMBER(MATCH(BJ$5, IFERROR(FILTER('MASTER LIST'!$N$2:$AB$294, 'MASTER LIST'!$A$2:$A$294=$A10), """"), 0)), ""Y"", """"))"),"")</f>
        <v/>
      </c>
      <c r="BK10" s="92" t="str">
        <f>IFERROR(__xludf.DUMMYFUNCTION("IF(OR($A10="""", BK$5=""""), """", IF(ISNUMBER(MATCH(BK$5, IFERROR(FILTER('MASTER LIST'!$N$2:$AB$294, 'MASTER LIST'!$A$2:$A$294=$A10), """"), 0)), ""Y"", """"))"),"")</f>
        <v/>
      </c>
      <c r="BL10" s="92" t="str">
        <f>IFERROR(__xludf.DUMMYFUNCTION("IF(OR($A10="""", BL$5=""""), """", IF(ISNUMBER(MATCH(BL$5, IFERROR(FILTER('MASTER LIST'!$N$2:$AB$294, 'MASTER LIST'!$A$2:$A$294=$A10), """"), 0)), ""Y"", """"))"),"")</f>
        <v/>
      </c>
      <c r="BM10" s="92" t="str">
        <f>IFERROR(__xludf.DUMMYFUNCTION("IF(OR($A10="""", BM$5=""""), """", IF(ISNUMBER(MATCH(BM$5, IFERROR(FILTER('MASTER LIST'!$N$2:$AB$294, 'MASTER LIST'!$A$2:$A$294=$A10), """"), 0)), ""Y"", """"))"),"")</f>
        <v/>
      </c>
      <c r="BN10" s="92" t="str">
        <f>IFERROR(__xludf.DUMMYFUNCTION("IF(OR($A10="""", BN$5=""""), """", IF(ISNUMBER(MATCH(BN$5, IFERROR(FILTER('MASTER LIST'!$N$2:$AB$294, 'MASTER LIST'!$A$2:$A$294=$A10), """"), 0)), ""Y"", """"))"),"")</f>
        <v/>
      </c>
      <c r="BO10" s="92" t="str">
        <f>IFERROR(__xludf.DUMMYFUNCTION("IF(OR($A10="""", BO$5=""""), """", IF(ISNUMBER(MATCH(BO$5, IFERROR(FILTER('MASTER LIST'!$N$2:$AB$294, 'MASTER LIST'!$A$2:$A$294=$A10), """"), 0)), ""Y"", """"))"),"")</f>
        <v/>
      </c>
      <c r="BP10" s="92" t="str">
        <f>IFERROR(__xludf.DUMMYFUNCTION("IF(OR($A10="""", BP$5=""""), """", IF(ISNUMBER(MATCH(BP$5, IFERROR(FILTER('MASTER LIST'!$N$2:$AB$294, 'MASTER LIST'!$A$2:$A$294=$A10), """"), 0)), ""Y"", """"))"),"")</f>
        <v/>
      </c>
      <c r="BQ10" s="92" t="str">
        <f>IFERROR(__xludf.DUMMYFUNCTION("IF(OR($A10="""", BQ$5=""""), """", IF(ISNUMBER(MATCH(BQ$5, IFERROR(FILTER('MASTER LIST'!$N$2:$AB$294, 'MASTER LIST'!$A$2:$A$294=$A10), """"), 0)), ""Y"", """"))"),"")</f>
        <v/>
      </c>
      <c r="BR10" s="92" t="str">
        <f>IFERROR(__xludf.DUMMYFUNCTION("IF(OR($A10="""", BR$5=""""), """", IF(ISNUMBER(MATCH(BR$5, IFERROR(FILTER('MASTER LIST'!$N$2:$AB$294, 'MASTER LIST'!$A$2:$A$294=$A10), """"), 0)), ""Y"", """"))"),"")</f>
        <v/>
      </c>
      <c r="BS10" s="92" t="str">
        <f>IFERROR(__xludf.DUMMYFUNCTION("IF(OR($A10="""", BS$5=""""), """", IF(ISNUMBER(MATCH(BS$5, IFERROR(FILTER('MASTER LIST'!$N$2:$AB$294, 'MASTER LIST'!$A$2:$A$294=$A10), """"), 0)), ""Y"", """"))"),"")</f>
        <v/>
      </c>
      <c r="BT10" s="92" t="str">
        <f>IFERROR(__xludf.DUMMYFUNCTION("IF(OR($A10="""", BT$5=""""), """", IF(ISNUMBER(MATCH(BT$5, IFERROR(FILTER('MASTER LIST'!$N$2:$AB$294, 'MASTER LIST'!$A$2:$A$294=$A10), """"), 0)), ""Y"", """"))"),"")</f>
        <v/>
      </c>
      <c r="BU10" s="92" t="str">
        <f>IFERROR(__xludf.DUMMYFUNCTION("IF(OR($A10="""", BU$5=""""), """", IF(ISNUMBER(MATCH(BU$5, IFERROR(FILTER('MASTER LIST'!$N$2:$AB$294, 'MASTER LIST'!$A$2:$A$294=$A10), """"), 0)), ""Y"", """"))"),"")</f>
        <v/>
      </c>
      <c r="BV10" s="92" t="str">
        <f>IFERROR(__xludf.DUMMYFUNCTION("IF(OR($A10="""", BV$5=""""), """", IF(ISNUMBER(MATCH(BV$5, IFERROR(FILTER('MASTER LIST'!$N$2:$AB$294, 'MASTER LIST'!$A$2:$A$294=$A10), """"), 0)), ""Y"", """"))"),"")</f>
        <v/>
      </c>
      <c r="BW10" s="92" t="str">
        <f>IFERROR(__xludf.DUMMYFUNCTION("IF(OR($A10="""", BW$5=""""), """", IF(ISNUMBER(MATCH(BW$5, IFERROR(FILTER('MASTER LIST'!$N$2:$AB$294, 'MASTER LIST'!$A$2:$A$294=$A10), """"), 0)), ""Y"", """"))"),"")</f>
        <v/>
      </c>
      <c r="BX10" s="92" t="str">
        <f>IFERROR(__xludf.DUMMYFUNCTION("IF(OR($A10="""", BX$5=""""), """", IF(ISNUMBER(MATCH(BX$5, IFERROR(FILTER('MASTER LIST'!$N$2:$AB$294, 'MASTER LIST'!$A$2:$A$294=$A10), """"), 0)), ""Y"", """"))"),"")</f>
        <v/>
      </c>
      <c r="BY10" s="92" t="str">
        <f>IFERROR(__xludf.DUMMYFUNCTION("IF(OR($A10="""", BY$5=""""), """", IF(ISNUMBER(MATCH(BY$5, IFERROR(FILTER('MASTER LIST'!$N$2:$AB$294, 'MASTER LIST'!$A$2:$A$294=$A10), """"), 0)), ""Y"", """"))"),"")</f>
        <v/>
      </c>
      <c r="BZ10" s="92" t="str">
        <f>IFERROR(__xludf.DUMMYFUNCTION("IF(OR($A10="""", BZ$5=""""), """", IF(ISNUMBER(MATCH(BZ$5, IFERROR(FILTER('MASTER LIST'!$N$2:$AB$294, 'MASTER LIST'!$A$2:$A$294=$A10), """"), 0)), ""Y"", """"))"),"")</f>
        <v/>
      </c>
      <c r="CA10" s="92" t="str">
        <f>IFERROR(__xludf.DUMMYFUNCTION("IF(OR($A10="""", CA$5=""""), """", IF(ISNUMBER(MATCH(CA$5, IFERROR(FILTER('MASTER LIST'!$N$2:$AB$294, 'MASTER LIST'!$A$2:$A$294=$A10), """"), 0)), ""Y"", """"))"),"")</f>
        <v/>
      </c>
      <c r="CB10" s="92" t="str">
        <f>IFERROR(__xludf.DUMMYFUNCTION("IF(OR($A10="""", CB$5=""""), """", IF(ISNUMBER(MATCH(CB$5, IFERROR(FILTER('MASTER LIST'!$N$2:$AB$294, 'MASTER LIST'!$A$2:$A$294=$A10), """"), 0)), ""Y"", """"))"),"")</f>
        <v/>
      </c>
      <c r="CC10" s="92"/>
      <c r="CD10" s="92"/>
      <c r="CE10" s="92"/>
      <c r="CF10" s="92"/>
      <c r="CG10" s="92"/>
      <c r="CH10" s="92"/>
      <c r="CI10" s="92"/>
      <c r="CJ10" s="92"/>
      <c r="CK10" s="92"/>
    </row>
    <row r="11">
      <c r="A11" s="75">
        <f>IFERROR(__xludf.DUMMYFUNCTION("""COMPUTED_VALUE"""),256.0)</f>
        <v>256</v>
      </c>
      <c r="B11" s="75" t="str">
        <f>IFERROR(__xludf.DUMMYFUNCTION("""COMPUTED_VALUE"""),"MUHAMMED FATHAH P")</f>
        <v>MUHAMMED FATHAH P</v>
      </c>
      <c r="C11" s="75">
        <f>IFERROR(__xludf.DUMMYFUNCTION("""COMPUTED_VALUE"""),5.0)</f>
        <v>5</v>
      </c>
      <c r="D11" s="75" t="str">
        <f>IFERROR(__xludf.DUMMYFUNCTION("""COMPUTED_VALUE"""),"THĀNIYAH")</f>
        <v>THĀNIYAH</v>
      </c>
      <c r="E11" s="75" t="str">
        <f>IFERROR(__xludf.DUMMYFUNCTION("""COMPUTED_VALUE"""),"TEAM C")</f>
        <v>TEAM C</v>
      </c>
      <c r="F11" s="75" t="str">
        <f>IFERROR(__xludf.DUMMYFUNCTION("""COMPUTED_VALUE"""),"Min 1 Required (Stage &amp; Non-Stage)")</f>
        <v>Min 1 Required (Stage &amp; Non-Stage)</v>
      </c>
      <c r="G11" s="92" t="str">
        <f>IFERROR(__xludf.DUMMYFUNCTION("IF(OR($A11="""", G$5=""""), """", IF(ISNUMBER(MATCH(G$5, IFERROR(FILTER('MASTER LIST'!$N$2:$W$294, 'MASTER LIST'!$A$2:$A$294=$A11), """"), 0)), ""Y"", """"))"),"")</f>
        <v/>
      </c>
      <c r="H11" s="92" t="str">
        <f>IFERROR(__xludf.DUMMYFUNCTION("IF(OR($A11="""", H$5=""""), """", IF(ISNUMBER(MATCH(H$5, IFERROR(FILTER('MASTER LIST'!$N$2:$W$294, 'MASTER LIST'!$A$2:$A$294=$A11), """"), 0)), ""Y"", """"))"),"")</f>
        <v/>
      </c>
      <c r="I11" s="92" t="str">
        <f>IFERROR(__xludf.DUMMYFUNCTION("IF(OR($A11="""", I$5=""""), """", IF(ISNUMBER(MATCH(I$5, IFERROR(FILTER('MASTER LIST'!$N$2:$W$294, 'MASTER LIST'!$A$2:$A$294=$A11), """"), 0)), ""Y"", """"))"),"")</f>
        <v/>
      </c>
      <c r="J11" s="92" t="str">
        <f>IFERROR(__xludf.DUMMYFUNCTION("IF(OR($A11="""", J$5=""""), """", IF(ISNUMBER(MATCH(J$5, IFERROR(FILTER('MASTER LIST'!$N$2:$W$294, 'MASTER LIST'!$A$2:$A$294=$A11), """"), 0)), ""Y"", """"))"),"")</f>
        <v/>
      </c>
      <c r="K11" s="92" t="str">
        <f>IFERROR(__xludf.DUMMYFUNCTION("IF(OR($A11="""", K$5=""""), """", IF(ISNUMBER(MATCH(K$5, IFERROR(FILTER('MASTER LIST'!$N$2:$W$294, 'MASTER LIST'!$A$2:$A$294=$A11), """"), 0)), ""Y"", """"))"),"")</f>
        <v/>
      </c>
      <c r="L11" s="92" t="str">
        <f>IFERROR(__xludf.DUMMYFUNCTION("IF(OR($A11="""", L$5=""""), """", IF(ISNUMBER(MATCH(L$5, IFERROR(FILTER('MASTER LIST'!$N$2:$W$294, 'MASTER LIST'!$A$2:$A$294=$A11), """"), 0)), ""Y"", """"))"),"")</f>
        <v/>
      </c>
      <c r="M11" s="92" t="str">
        <f>IFERROR(__xludf.DUMMYFUNCTION("IF(OR($A11="""", M$5=""""), """", IF(ISNUMBER(MATCH(M$5, IFERROR(FILTER('MASTER LIST'!$N$2:$W$294, 'MASTER LIST'!$A$2:$A$294=$A11), """"), 0)), ""Y"", """"))"),"")</f>
        <v/>
      </c>
      <c r="N11" s="92" t="str">
        <f>IFERROR(__xludf.DUMMYFUNCTION("IF(OR($A11="""", N$5=""""), """", IF(ISNUMBER(MATCH(N$5, IFERROR(FILTER('MASTER LIST'!$N$2:$W$294, 'MASTER LIST'!$A$2:$A$294=$A11), """"), 0)), ""Y"", """"))"),"")</f>
        <v/>
      </c>
      <c r="O11" s="92" t="str">
        <f>IFERROR(__xludf.DUMMYFUNCTION("IF(OR($A11="""", O$5=""""), """", IF(ISNUMBER(MATCH(O$5, IFERROR(FILTER('MASTER LIST'!$N$2:$W$294, 'MASTER LIST'!$A$2:$A$294=$A11), """"), 0)), ""Y"", """"))"),"")</f>
        <v/>
      </c>
      <c r="P11" s="92" t="str">
        <f>IFERROR(__xludf.DUMMYFUNCTION("IF(OR($A11="""", P$5=""""), """", IF(ISNUMBER(MATCH(P$5, IFERROR(FILTER('MASTER LIST'!$N$2:$W$294, 'MASTER LIST'!$A$2:$A$294=$A11), """"), 0)), ""Y"", """"))"),"")</f>
        <v/>
      </c>
      <c r="Q11" s="92" t="str">
        <f>IFERROR(__xludf.DUMMYFUNCTION("IF(OR($A11="""", Q$5=""""), """", IF(ISNUMBER(MATCH(Q$5, IFERROR(FILTER('MASTER LIST'!$N$2:$AB$294, 'MASTER LIST'!$A$2:$A$294=$A11), """"), 0)), ""Y"", """"))"),"")</f>
        <v/>
      </c>
      <c r="R11" s="92" t="str">
        <f>IFERROR(__xludf.DUMMYFUNCTION("IF(OR($A11="""", R$5=""""), """", IF(ISNUMBER(MATCH(R$5, IFERROR(FILTER('MASTER LIST'!$N$2:$AB$294, 'MASTER LIST'!$A$2:$A$294=$A11), """"), 0)), ""Y"", """"))"),"")</f>
        <v/>
      </c>
      <c r="S11" s="92" t="str">
        <f>IFERROR(__xludf.DUMMYFUNCTION("IF(OR($A11="""", S$5=""""), """", IF(ISNUMBER(MATCH(S$5, IFERROR(FILTER('MASTER LIST'!$N$2:$AB$294, 'MASTER LIST'!$A$2:$A$294=$A11), """"), 0)), ""Y"", """"))"),"")</f>
        <v/>
      </c>
      <c r="T11" s="92" t="str">
        <f>IFERROR(__xludf.DUMMYFUNCTION("IF(OR($A11="""", T$5=""""), """", IF(ISNUMBER(MATCH(T$5, IFERROR(FILTER('MASTER LIST'!$N$2:$AB$294, 'MASTER LIST'!$A$2:$A$294=$A11), """"), 0)), ""Y"", """"))"),"")</f>
        <v/>
      </c>
      <c r="U11" s="92" t="str">
        <f>IFERROR(__xludf.DUMMYFUNCTION("IF(OR($A11="""", U$5=""""), """", IF(ISNUMBER(MATCH(U$5, IFERROR(FILTER('MASTER LIST'!$N$2:$AB$294, 'MASTER LIST'!$A$2:$A$294=$A11), """"), 0)), ""Y"", """"))"),"")</f>
        <v/>
      </c>
      <c r="V11" s="92" t="str">
        <f>IFERROR(__xludf.DUMMYFUNCTION("IF(OR($A11="""", V$5=""""), """", IF(ISNUMBER(MATCH(V$5, IFERROR(FILTER('MASTER LIST'!$N$2:$AB$294, 'MASTER LIST'!$A$2:$A$294=$A11), """"), 0)), ""Y"", """"))"),"")</f>
        <v/>
      </c>
      <c r="W11" s="92" t="str">
        <f>IFERROR(__xludf.DUMMYFUNCTION("IF(OR($A11="""", W$5=""""), """", IF(ISNUMBER(MATCH(W$5, IFERROR(FILTER('MASTER LIST'!$N$2:$AB$294, 'MASTER LIST'!$A$2:$A$294=$A11), """"), 0)), ""Y"", """"))"),"")</f>
        <v/>
      </c>
      <c r="X11" s="92" t="str">
        <f>IFERROR(__xludf.DUMMYFUNCTION("IF(OR($A11="""", X$5=""""), """", IF(ISNUMBER(MATCH(X$5, IFERROR(FILTER('MASTER LIST'!$N$2:$AB$294, 'MASTER LIST'!$A$2:$A$294=$A11), """"), 0)), ""Y"", """"))"),"")</f>
        <v/>
      </c>
      <c r="Y11" s="92" t="str">
        <f>IFERROR(__xludf.DUMMYFUNCTION("IF(OR($A11="""", Y$5=""""), """", IF(ISNUMBER(MATCH(Y$5, IFERROR(FILTER('MASTER LIST'!$N$2:$AB$294, 'MASTER LIST'!$A$2:$A$294=$A11), """"), 0)), ""Y"", """"))"),"")</f>
        <v/>
      </c>
      <c r="Z11" s="92" t="str">
        <f>IFERROR(__xludf.DUMMYFUNCTION("IF(OR($A11="""", Z$5=""""), """", IF(ISNUMBER(MATCH(Z$5, IFERROR(FILTER('MASTER LIST'!$N$2:$AB$294, 'MASTER LIST'!$A$2:$A$294=$A11), """"), 0)), ""Y"", """"))"),"")</f>
        <v/>
      </c>
      <c r="AA11" s="92" t="str">
        <f>IFERROR(__xludf.DUMMYFUNCTION("IF(OR($A11="""", AA$5=""""), """", IF(ISNUMBER(MATCH(AA$5, IFERROR(FILTER('MASTER LIST'!$N$2:$AB$294, 'MASTER LIST'!$A$2:$A$294=$A11), """"), 0)), ""Y"", """"))"),"")</f>
        <v/>
      </c>
      <c r="AB11" s="92" t="str">
        <f>IFERROR(__xludf.DUMMYFUNCTION("IF(OR($A11="""", AB$5=""""), """", IF(ISNUMBER(MATCH(AB$5, IFERROR(FILTER('MASTER LIST'!$N$2:$AB$294, 'MASTER LIST'!$A$2:$A$294=$A11), """"), 0)), ""Y"", """"))"),"")</f>
        <v/>
      </c>
      <c r="AC11" s="92" t="str">
        <f>IFERROR(__xludf.DUMMYFUNCTION("IF(OR($A11="""", AC$5=""""), """", IF(ISNUMBER(MATCH(AC$5, IFERROR(FILTER('MASTER LIST'!$N$2:$AB$294, 'MASTER LIST'!$A$2:$A$294=$A11), """"), 0)), ""Y"", """"))"),"")</f>
        <v/>
      </c>
      <c r="AD11" s="92" t="str">
        <f>IFERROR(__xludf.DUMMYFUNCTION("IF(OR($A11="""", AD$5=""""), """", IF(ISNUMBER(MATCH(AD$5, IFERROR(FILTER('MASTER LIST'!$N$2:$AB$294, 'MASTER LIST'!$A$2:$A$294=$A11), """"), 0)), ""Y"", """"))"),"")</f>
        <v/>
      </c>
      <c r="AE11" s="92" t="str">
        <f>IFERROR(__xludf.DUMMYFUNCTION("IF(OR($A11="""", AE$5=""""), """", IF(ISNUMBER(MATCH(AE$5, IFERROR(FILTER('MASTER LIST'!$N$2:$AB$294, 'MASTER LIST'!$A$2:$A$294=$A11), """"), 0)), ""Y"", """"))"),"")</f>
        <v/>
      </c>
      <c r="AF11" s="92" t="str">
        <f>IFERROR(__xludf.DUMMYFUNCTION("IF(OR($A11="""", AF$5=""""), """", IF(ISNUMBER(MATCH(AF$5, IFERROR(FILTER('MASTER LIST'!$N$2:$AB$294, 'MASTER LIST'!$A$2:$A$294=$A11), """"), 0)), ""Y"", """"))"),"")</f>
        <v/>
      </c>
      <c r="AG11" s="92" t="str">
        <f>IFERROR(__xludf.DUMMYFUNCTION("IF(OR($A11="""", AG$5=""""), """", IF(ISNUMBER(MATCH(AG$5, IFERROR(FILTER('MASTER LIST'!$N$2:$AB$294, 'MASTER LIST'!$A$2:$A$294=$A11), """"), 0)), ""Y"", """"))"),"")</f>
        <v/>
      </c>
      <c r="AH11" s="92" t="str">
        <f>IFERROR(__xludf.DUMMYFUNCTION("IF(OR($A11="""", AH$5=""""), """", IF(ISNUMBER(MATCH(AH$5, IFERROR(FILTER('MASTER LIST'!$N$2:$AB$294, 'MASTER LIST'!$A$2:$A$294=$A11), """"), 0)), ""Y"", """"))"),"")</f>
        <v/>
      </c>
      <c r="AI11" s="92" t="str">
        <f>IFERROR(__xludf.DUMMYFUNCTION("IF(OR($A11="""", AI$5=""""), """", IF(ISNUMBER(MATCH(AI$5, IFERROR(FILTER('MASTER LIST'!$N$2:$AB$294, 'MASTER LIST'!$A$2:$A$294=$A11), """"), 0)), ""Y"", """"))"),"")</f>
        <v/>
      </c>
      <c r="AJ11" s="92" t="str">
        <f>IFERROR(__xludf.DUMMYFUNCTION("IF(OR($A11="""", AJ$5=""""), """", IF(ISNUMBER(MATCH(AJ$5, IFERROR(FILTER('MASTER LIST'!$N$2:$AB$294, 'MASTER LIST'!$A$2:$A$294=$A11), """"), 0)), ""Y"", """"))"),"")</f>
        <v/>
      </c>
      <c r="AK11" s="92" t="str">
        <f>IFERROR(__xludf.DUMMYFUNCTION("IF(OR($A11="""", AK$5=""""), """", IF(ISNUMBER(MATCH(AK$5, IFERROR(FILTER('MASTER LIST'!$N$2:$AB$294, 'MASTER LIST'!$A$2:$A$294=$A11), """"), 0)), ""Y"", """"))"),"")</f>
        <v/>
      </c>
      <c r="AL11" s="92" t="str">
        <f>IFERROR(__xludf.DUMMYFUNCTION("IF(OR($A11="""", AL$5=""""), """", IF(ISNUMBER(MATCH(AL$5, IFERROR(FILTER('MASTER LIST'!$N$2:$AB$294, 'MASTER LIST'!$A$2:$A$294=$A11), """"), 0)), ""Y"", """"))"),"")</f>
        <v/>
      </c>
      <c r="AM11" s="92" t="str">
        <f>IFERROR(__xludf.DUMMYFUNCTION("IF(OR($A11="""", AM$5=""""), """", IF(ISNUMBER(MATCH(AM$5, IFERROR(FILTER('MASTER LIST'!$N$2:$AB$294, 'MASTER LIST'!$A$2:$A$294=$A11), """"), 0)), ""Y"", """"))"),"")</f>
        <v/>
      </c>
      <c r="AN11" s="92" t="str">
        <f>IFERROR(__xludf.DUMMYFUNCTION("IF(OR($A11="""", AN$5=""""), """", IF(ISNUMBER(MATCH(AN$5, IFERROR(FILTER('MASTER LIST'!$N$2:$AB$294, 'MASTER LIST'!$A$2:$A$294=$A11), """"), 0)), ""Y"", """"))"),"")</f>
        <v/>
      </c>
      <c r="AO11" s="92" t="str">
        <f>IFERROR(__xludf.DUMMYFUNCTION("IF(OR($A11="""", AO$5=""""), """", IF(ISNUMBER(MATCH(AO$5, IFERROR(FILTER('MASTER LIST'!$N$2:$AB$294, 'MASTER LIST'!$A$2:$A$294=$A11), """"), 0)), ""Y"", """"))"),"")</f>
        <v/>
      </c>
      <c r="AP11" s="92" t="str">
        <f>IFERROR(__xludf.DUMMYFUNCTION("IF(OR($A11="""", AP$5=""""), """", IF(ISNUMBER(MATCH(AP$5, IFERROR(FILTER('MASTER LIST'!$N$2:$AB$294, 'MASTER LIST'!$A$2:$A$294=$A11), """"), 0)), ""Y"", """"))"),"")</f>
        <v/>
      </c>
      <c r="AQ11" s="92" t="str">
        <f>IFERROR(__xludf.DUMMYFUNCTION("IF(OR($A11="""", AQ$5=""""), """", IF(ISNUMBER(MATCH(AQ$5, IFERROR(FILTER('MASTER LIST'!$N$2:$AB$294, 'MASTER LIST'!$A$2:$A$294=$A11), """"), 0)), ""Y"", """"))"),"")</f>
        <v/>
      </c>
      <c r="AR11" s="92" t="str">
        <f>IFERROR(__xludf.DUMMYFUNCTION("IF(OR($A11="""", AR$5=""""), """", IF(ISNUMBER(MATCH(AR$5, IFERROR(FILTER('MASTER LIST'!$N$2:$AB$294, 'MASTER LIST'!$A$2:$A$294=$A11), """"), 0)), ""Y"", """"))"),"")</f>
        <v/>
      </c>
      <c r="AS11" s="92" t="str">
        <f>IFERROR(__xludf.DUMMYFUNCTION("IF(OR($A11="""", AS$5=""""), """", IF(ISNUMBER(MATCH(AS$5, IFERROR(FILTER('MASTER LIST'!$N$2:$AB$294, 'MASTER LIST'!$A$2:$A$294=$A11), """"), 0)), ""Y"", """"))"),"")</f>
        <v/>
      </c>
      <c r="AT11" s="92" t="str">
        <f>IFERROR(__xludf.DUMMYFUNCTION("IF(OR($A11="""", AT$5=""""), """", IF(ISNUMBER(MATCH(AT$5, IFERROR(FILTER('MASTER LIST'!$N$2:$AB$294, 'MASTER LIST'!$A$2:$A$294=$A11), """"), 0)), ""Y"", """"))"),"")</f>
        <v/>
      </c>
      <c r="AU11" s="92" t="str">
        <f>IFERROR(__xludf.DUMMYFUNCTION("IF(OR($A11="""", AU$5=""""), """", IF(ISNUMBER(MATCH(AU$5, IFERROR(FILTER('MASTER LIST'!$N$2:$AB$294, 'MASTER LIST'!$A$2:$A$294=$A11), """"), 0)), ""Y"", """"))"),"")</f>
        <v/>
      </c>
      <c r="AV11" s="92" t="str">
        <f>IFERROR(__xludf.DUMMYFUNCTION("IF(OR($A11="""", AV$5=""""), """", IF(ISNUMBER(MATCH(AV$5, IFERROR(FILTER('MASTER LIST'!$N$2:$AB$294, 'MASTER LIST'!$A$2:$A$294=$A11), """"), 0)), ""Y"", """"))"),"")</f>
        <v/>
      </c>
      <c r="AW11" s="92" t="str">
        <f>IFERROR(__xludf.DUMMYFUNCTION("IF(OR($A11="""", AW$5=""""), """", IF(ISNUMBER(MATCH(AW$5, IFERROR(FILTER('MASTER LIST'!$N$2:$AB$294, 'MASTER LIST'!$A$2:$A$294=$A11), """"), 0)), ""Y"", """"))"),"")</f>
        <v/>
      </c>
      <c r="AX11" s="92" t="str">
        <f>IFERROR(__xludf.DUMMYFUNCTION("IF(OR($A11="""", AX$5=""""), """", IF(ISNUMBER(MATCH(AX$5, IFERROR(FILTER('MASTER LIST'!$N$2:$AB$294, 'MASTER LIST'!$A$2:$A$294=$A11), """"), 0)), ""Y"", """"))"),"")</f>
        <v/>
      </c>
      <c r="AY11" s="92" t="str">
        <f>IFERROR(__xludf.DUMMYFUNCTION("IF(OR($A11="""", AY$5=""""), """", IF(ISNUMBER(MATCH(AY$5, IFERROR(FILTER('MASTER LIST'!$N$2:$AB$294, 'MASTER LIST'!$A$2:$A$294=$A11), """"), 0)), ""Y"", """"))"),"")</f>
        <v/>
      </c>
      <c r="AZ11" s="92" t="str">
        <f>IFERROR(__xludf.DUMMYFUNCTION("IF(OR($A11="""", AZ$5=""""), """", IF(ISNUMBER(MATCH(AZ$5, IFERROR(FILTER('MASTER LIST'!$N$2:$AB$294, 'MASTER LIST'!$A$2:$A$294=$A11), """"), 0)), ""Y"", """"))"),"")</f>
        <v/>
      </c>
      <c r="BA11" s="92" t="str">
        <f>IFERROR(__xludf.DUMMYFUNCTION("IF(OR($A11="""", BA$5=""""), """", IF(ISNUMBER(MATCH(BA$5, IFERROR(FILTER('MASTER LIST'!$N$2:$AB$294, 'MASTER LIST'!$A$2:$A$294=$A11), """"), 0)), ""Y"", """"))"),"")</f>
        <v/>
      </c>
      <c r="BB11" s="92" t="str">
        <f>IFERROR(__xludf.DUMMYFUNCTION("IF(OR($A11="""", BB$5=""""), """", IF(ISNUMBER(MATCH(BB$5, IFERROR(FILTER('MASTER LIST'!$N$2:$AB$294, 'MASTER LIST'!$A$2:$A$294=$A11), """"), 0)), ""Y"", """"))"),"")</f>
        <v/>
      </c>
      <c r="BC11" s="92" t="str">
        <f>IFERROR(__xludf.DUMMYFUNCTION("IF(OR($A11="""", BC$5=""""), """", IF(ISNUMBER(MATCH(BC$5, IFERROR(FILTER('MASTER LIST'!$N$2:$AB$294, 'MASTER LIST'!$A$2:$A$294=$A11), """"), 0)), ""Y"", """"))"),"")</f>
        <v/>
      </c>
      <c r="BD11" s="92" t="str">
        <f>IFERROR(__xludf.DUMMYFUNCTION("IF(OR($A11="""", BD$5=""""), """", IF(ISNUMBER(MATCH(BD$5, IFERROR(FILTER('MASTER LIST'!$N$2:$AB$294, 'MASTER LIST'!$A$2:$A$294=$A11), """"), 0)), ""Y"", """"))"),"")</f>
        <v/>
      </c>
      <c r="BE11" s="92" t="str">
        <f>IFERROR(__xludf.DUMMYFUNCTION("IF(OR($A11="""", BE$5=""""), """", IF(ISNUMBER(MATCH(BE$5, IFERROR(FILTER('MASTER LIST'!$N$2:$AB$294, 'MASTER LIST'!$A$2:$A$294=$A11), """"), 0)), ""Y"", """"))"),"")</f>
        <v/>
      </c>
      <c r="BF11" s="92" t="str">
        <f>IFERROR(__xludf.DUMMYFUNCTION("IF(OR($A11="""", BF$5=""""), """", IF(ISNUMBER(MATCH(BF$5, IFERROR(FILTER('MASTER LIST'!$N$2:$AB$294, 'MASTER LIST'!$A$2:$A$294=$A11), """"), 0)), ""Y"", """"))"),"")</f>
        <v/>
      </c>
      <c r="BG11" s="92" t="str">
        <f>IFERROR(__xludf.DUMMYFUNCTION("IF(OR($A11="""", BG$5=""""), """", IF(ISNUMBER(MATCH(BG$5, IFERROR(FILTER('MASTER LIST'!$N$2:$AB$294, 'MASTER LIST'!$A$2:$A$294=$A11), """"), 0)), ""Y"", """"))"),"")</f>
        <v/>
      </c>
      <c r="BH11" s="92" t="str">
        <f>IFERROR(__xludf.DUMMYFUNCTION("IF(OR($A11="""", BH$5=""""), """", IF(ISNUMBER(MATCH(BH$5, IFERROR(FILTER('MASTER LIST'!$N$2:$AB$294, 'MASTER LIST'!$A$2:$A$294=$A11), """"), 0)), ""Y"", """"))"),"")</f>
        <v/>
      </c>
      <c r="BI11" s="92" t="str">
        <f>IFERROR(__xludf.DUMMYFUNCTION("IF(OR($A11="""", BI$5=""""), """", IF(ISNUMBER(MATCH(BI$5, IFERROR(FILTER('MASTER LIST'!$N$2:$AB$294, 'MASTER LIST'!$A$2:$A$294=$A11), """"), 0)), ""Y"", """"))"),"")</f>
        <v/>
      </c>
      <c r="BJ11" s="92" t="str">
        <f>IFERROR(__xludf.DUMMYFUNCTION("IF(OR($A11="""", BJ$5=""""), """", IF(ISNUMBER(MATCH(BJ$5, IFERROR(FILTER('MASTER LIST'!$N$2:$AB$294, 'MASTER LIST'!$A$2:$A$294=$A11), """"), 0)), ""Y"", """"))"),"")</f>
        <v/>
      </c>
      <c r="BK11" s="92" t="str">
        <f>IFERROR(__xludf.DUMMYFUNCTION("IF(OR($A11="""", BK$5=""""), """", IF(ISNUMBER(MATCH(BK$5, IFERROR(FILTER('MASTER LIST'!$N$2:$AB$294, 'MASTER LIST'!$A$2:$A$294=$A11), """"), 0)), ""Y"", """"))"),"")</f>
        <v/>
      </c>
      <c r="BL11" s="92" t="str">
        <f>IFERROR(__xludf.DUMMYFUNCTION("IF(OR($A11="""", BL$5=""""), """", IF(ISNUMBER(MATCH(BL$5, IFERROR(FILTER('MASTER LIST'!$N$2:$AB$294, 'MASTER LIST'!$A$2:$A$294=$A11), """"), 0)), ""Y"", """"))"),"")</f>
        <v/>
      </c>
      <c r="BM11" s="92" t="str">
        <f>IFERROR(__xludf.DUMMYFUNCTION("IF(OR($A11="""", BM$5=""""), """", IF(ISNUMBER(MATCH(BM$5, IFERROR(FILTER('MASTER LIST'!$N$2:$AB$294, 'MASTER LIST'!$A$2:$A$294=$A11), """"), 0)), ""Y"", """"))"),"")</f>
        <v/>
      </c>
      <c r="BN11" s="92" t="str">
        <f>IFERROR(__xludf.DUMMYFUNCTION("IF(OR($A11="""", BN$5=""""), """", IF(ISNUMBER(MATCH(BN$5, IFERROR(FILTER('MASTER LIST'!$N$2:$AB$294, 'MASTER LIST'!$A$2:$A$294=$A11), """"), 0)), ""Y"", """"))"),"")</f>
        <v/>
      </c>
      <c r="BO11" s="92" t="str">
        <f>IFERROR(__xludf.DUMMYFUNCTION("IF(OR($A11="""", BO$5=""""), """", IF(ISNUMBER(MATCH(BO$5, IFERROR(FILTER('MASTER LIST'!$N$2:$AB$294, 'MASTER LIST'!$A$2:$A$294=$A11), """"), 0)), ""Y"", """"))"),"")</f>
        <v/>
      </c>
      <c r="BP11" s="92" t="str">
        <f>IFERROR(__xludf.DUMMYFUNCTION("IF(OR($A11="""", BP$5=""""), """", IF(ISNUMBER(MATCH(BP$5, IFERROR(FILTER('MASTER LIST'!$N$2:$AB$294, 'MASTER LIST'!$A$2:$A$294=$A11), """"), 0)), ""Y"", """"))"),"")</f>
        <v/>
      </c>
      <c r="BQ11" s="92" t="str">
        <f>IFERROR(__xludf.DUMMYFUNCTION("IF(OR($A11="""", BQ$5=""""), """", IF(ISNUMBER(MATCH(BQ$5, IFERROR(FILTER('MASTER LIST'!$N$2:$AB$294, 'MASTER LIST'!$A$2:$A$294=$A11), """"), 0)), ""Y"", """"))"),"")</f>
        <v/>
      </c>
      <c r="BR11" s="92" t="str">
        <f>IFERROR(__xludf.DUMMYFUNCTION("IF(OR($A11="""", BR$5=""""), """", IF(ISNUMBER(MATCH(BR$5, IFERROR(FILTER('MASTER LIST'!$N$2:$AB$294, 'MASTER LIST'!$A$2:$A$294=$A11), """"), 0)), ""Y"", """"))"),"")</f>
        <v/>
      </c>
      <c r="BS11" s="92" t="str">
        <f>IFERROR(__xludf.DUMMYFUNCTION("IF(OR($A11="""", BS$5=""""), """", IF(ISNUMBER(MATCH(BS$5, IFERROR(FILTER('MASTER LIST'!$N$2:$AB$294, 'MASTER LIST'!$A$2:$A$294=$A11), """"), 0)), ""Y"", """"))"),"")</f>
        <v/>
      </c>
      <c r="BT11" s="92" t="str">
        <f>IFERROR(__xludf.DUMMYFUNCTION("IF(OR($A11="""", BT$5=""""), """", IF(ISNUMBER(MATCH(BT$5, IFERROR(FILTER('MASTER LIST'!$N$2:$AB$294, 'MASTER LIST'!$A$2:$A$294=$A11), """"), 0)), ""Y"", """"))"),"")</f>
        <v/>
      </c>
      <c r="BU11" s="92" t="str">
        <f>IFERROR(__xludf.DUMMYFUNCTION("IF(OR($A11="""", BU$5=""""), """", IF(ISNUMBER(MATCH(BU$5, IFERROR(FILTER('MASTER LIST'!$N$2:$AB$294, 'MASTER LIST'!$A$2:$A$294=$A11), """"), 0)), ""Y"", """"))"),"")</f>
        <v/>
      </c>
      <c r="BV11" s="92" t="str">
        <f>IFERROR(__xludf.DUMMYFUNCTION("IF(OR($A11="""", BV$5=""""), """", IF(ISNUMBER(MATCH(BV$5, IFERROR(FILTER('MASTER LIST'!$N$2:$AB$294, 'MASTER LIST'!$A$2:$A$294=$A11), """"), 0)), ""Y"", """"))"),"")</f>
        <v/>
      </c>
      <c r="BW11" s="92" t="str">
        <f>IFERROR(__xludf.DUMMYFUNCTION("IF(OR($A11="""", BW$5=""""), """", IF(ISNUMBER(MATCH(BW$5, IFERROR(FILTER('MASTER LIST'!$N$2:$AB$294, 'MASTER LIST'!$A$2:$A$294=$A11), """"), 0)), ""Y"", """"))"),"")</f>
        <v/>
      </c>
      <c r="BX11" s="92" t="str">
        <f>IFERROR(__xludf.DUMMYFUNCTION("IF(OR($A11="""", BX$5=""""), """", IF(ISNUMBER(MATCH(BX$5, IFERROR(FILTER('MASTER LIST'!$N$2:$AB$294, 'MASTER LIST'!$A$2:$A$294=$A11), """"), 0)), ""Y"", """"))"),"")</f>
        <v/>
      </c>
      <c r="BY11" s="92" t="str">
        <f>IFERROR(__xludf.DUMMYFUNCTION("IF(OR($A11="""", BY$5=""""), """", IF(ISNUMBER(MATCH(BY$5, IFERROR(FILTER('MASTER LIST'!$N$2:$AB$294, 'MASTER LIST'!$A$2:$A$294=$A11), """"), 0)), ""Y"", """"))"),"")</f>
        <v/>
      </c>
      <c r="BZ11" s="92" t="str">
        <f>IFERROR(__xludf.DUMMYFUNCTION("IF(OR($A11="""", BZ$5=""""), """", IF(ISNUMBER(MATCH(BZ$5, IFERROR(FILTER('MASTER LIST'!$N$2:$AB$294, 'MASTER LIST'!$A$2:$A$294=$A11), """"), 0)), ""Y"", """"))"),"")</f>
        <v/>
      </c>
      <c r="CA11" s="92" t="str">
        <f>IFERROR(__xludf.DUMMYFUNCTION("IF(OR($A11="""", CA$5=""""), """", IF(ISNUMBER(MATCH(CA$5, IFERROR(FILTER('MASTER LIST'!$N$2:$AB$294, 'MASTER LIST'!$A$2:$A$294=$A11), """"), 0)), ""Y"", """"))"),"")</f>
        <v/>
      </c>
      <c r="CB11" s="92" t="str">
        <f>IFERROR(__xludf.DUMMYFUNCTION("IF(OR($A11="""", CB$5=""""), """", IF(ISNUMBER(MATCH(CB$5, IFERROR(FILTER('MASTER LIST'!$N$2:$AB$294, 'MASTER LIST'!$A$2:$A$294=$A11), """"), 0)), ""Y"", """"))"),"")</f>
        <v/>
      </c>
      <c r="CC11" s="92"/>
      <c r="CD11" s="92"/>
      <c r="CE11" s="92"/>
      <c r="CF11" s="92"/>
      <c r="CG11" s="92"/>
      <c r="CH11" s="92"/>
      <c r="CI11" s="92"/>
      <c r="CJ11" s="92"/>
      <c r="CK11" s="92"/>
    </row>
    <row r="12">
      <c r="A12" s="75">
        <f>IFERROR(__xludf.DUMMYFUNCTION("""COMPUTED_VALUE"""),286.0)</f>
        <v>286</v>
      </c>
      <c r="B12" s="75" t="str">
        <f>IFERROR(__xludf.DUMMYFUNCTION("""COMPUTED_VALUE"""),"MUHAMMED ARSHAD C")</f>
        <v>MUHAMMED ARSHAD C</v>
      </c>
      <c r="C12" s="75">
        <f>IFERROR(__xludf.DUMMYFUNCTION("""COMPUTED_VALUE"""),5.0)</f>
        <v>5</v>
      </c>
      <c r="D12" s="75" t="str">
        <f>IFERROR(__xludf.DUMMYFUNCTION("""COMPUTED_VALUE"""),"THĀNIYAH")</f>
        <v>THĀNIYAH</v>
      </c>
      <c r="E12" s="75" t="str">
        <f>IFERROR(__xludf.DUMMYFUNCTION("""COMPUTED_VALUE"""),"TEAM C")</f>
        <v>TEAM C</v>
      </c>
      <c r="F12" s="75" t="str">
        <f>IFERROR(__xludf.DUMMYFUNCTION("""COMPUTED_VALUE"""),"Min 1 Required (Stage &amp; Non-Stage)")</f>
        <v>Min 1 Required (Stage &amp; Non-Stage)</v>
      </c>
      <c r="G12" s="91" t="str">
        <f>IFERROR(__xludf.DUMMYFUNCTION("IF(OR($A12="""", G$5=""""), """", IF(ISNUMBER(MATCH(G$5, IFERROR(FILTER('MASTER LIST'!$N$2:$W$294, 'MASTER LIST'!$A$2:$A$294=$A12), """"), 0)), ""Y"", """"))"),"")</f>
        <v/>
      </c>
      <c r="H12" s="91" t="str">
        <f>IFERROR(__xludf.DUMMYFUNCTION("IF(OR($A12="""", H$5=""""), """", IF(ISNUMBER(MATCH(H$5, IFERROR(FILTER('MASTER LIST'!$N$2:$W$294, 'MASTER LIST'!$A$2:$A$294=$A12), """"), 0)), ""Y"", """"))"),"")</f>
        <v/>
      </c>
      <c r="I12" s="91" t="str">
        <f>IFERROR(__xludf.DUMMYFUNCTION("IF(OR($A12="""", I$5=""""), """", IF(ISNUMBER(MATCH(I$5, IFERROR(FILTER('MASTER LIST'!$N$2:$W$294, 'MASTER LIST'!$A$2:$A$294=$A12), """"), 0)), ""Y"", """"))"),"")</f>
        <v/>
      </c>
      <c r="J12" s="91" t="str">
        <f>IFERROR(__xludf.DUMMYFUNCTION("IF(OR($A12="""", J$5=""""), """", IF(ISNUMBER(MATCH(J$5, IFERROR(FILTER('MASTER LIST'!$N$2:$W$294, 'MASTER LIST'!$A$2:$A$294=$A12), """"), 0)), ""Y"", """"))"),"")</f>
        <v/>
      </c>
      <c r="K12" s="91" t="str">
        <f>IFERROR(__xludf.DUMMYFUNCTION("IF(OR($A12="""", K$5=""""), """", IF(ISNUMBER(MATCH(K$5, IFERROR(FILTER('MASTER LIST'!$N$2:$W$294, 'MASTER LIST'!$A$2:$A$294=$A12), """"), 0)), ""Y"", """"))"),"")</f>
        <v/>
      </c>
      <c r="L12" s="91" t="str">
        <f>IFERROR(__xludf.DUMMYFUNCTION("IF(OR($A12="""", L$5=""""), """", IF(ISNUMBER(MATCH(L$5, IFERROR(FILTER('MASTER LIST'!$N$2:$W$294, 'MASTER LIST'!$A$2:$A$294=$A12), """"), 0)), ""Y"", """"))"),"")</f>
        <v/>
      </c>
      <c r="M12" s="91" t="str">
        <f>IFERROR(__xludf.DUMMYFUNCTION("IF(OR($A12="""", M$5=""""), """", IF(ISNUMBER(MATCH(M$5, IFERROR(FILTER('MASTER LIST'!$N$2:$W$294, 'MASTER LIST'!$A$2:$A$294=$A12), """"), 0)), ""Y"", """"))"),"")</f>
        <v/>
      </c>
      <c r="N12" s="91" t="str">
        <f>IFERROR(__xludf.DUMMYFUNCTION("IF(OR($A12="""", N$5=""""), """", IF(ISNUMBER(MATCH(N$5, IFERROR(FILTER('MASTER LIST'!$N$2:$W$294, 'MASTER LIST'!$A$2:$A$294=$A12), """"), 0)), ""Y"", """"))"),"")</f>
        <v/>
      </c>
      <c r="O12" s="91" t="str">
        <f>IFERROR(__xludf.DUMMYFUNCTION("IF(OR($A12="""", O$5=""""), """", IF(ISNUMBER(MATCH(O$5, IFERROR(FILTER('MASTER LIST'!$N$2:$W$294, 'MASTER LIST'!$A$2:$A$294=$A12), """"), 0)), ""Y"", """"))"),"")</f>
        <v/>
      </c>
      <c r="P12" s="92" t="str">
        <f>IFERROR(__xludf.DUMMYFUNCTION("IF(OR($A12="""", P$5=""""), """", IF(ISNUMBER(MATCH(P$5, IFERROR(FILTER('MASTER LIST'!$N$2:$W$294, 'MASTER LIST'!$A$2:$A$294=$A12), """"), 0)), ""Y"", """"))"),"")</f>
        <v/>
      </c>
      <c r="Q12" s="92" t="str">
        <f>IFERROR(__xludf.DUMMYFUNCTION("IF(OR($A12="""", Q$5=""""), """", IF(ISNUMBER(MATCH(Q$5, IFERROR(FILTER('MASTER LIST'!$N$2:$AB$294, 'MASTER LIST'!$A$2:$A$294=$A12), """"), 0)), ""Y"", """"))"),"")</f>
        <v/>
      </c>
      <c r="R12" s="92" t="str">
        <f>IFERROR(__xludf.DUMMYFUNCTION("IF(OR($A12="""", R$5=""""), """", IF(ISNUMBER(MATCH(R$5, IFERROR(FILTER('MASTER LIST'!$N$2:$AB$294, 'MASTER LIST'!$A$2:$A$294=$A12), """"), 0)), ""Y"", """"))"),"")</f>
        <v/>
      </c>
      <c r="S12" s="92" t="str">
        <f>IFERROR(__xludf.DUMMYFUNCTION("IF(OR($A12="""", S$5=""""), """", IF(ISNUMBER(MATCH(S$5, IFERROR(FILTER('MASTER LIST'!$N$2:$AB$294, 'MASTER LIST'!$A$2:$A$294=$A12), """"), 0)), ""Y"", """"))"),"")</f>
        <v/>
      </c>
      <c r="T12" s="92" t="str">
        <f>IFERROR(__xludf.DUMMYFUNCTION("IF(OR($A12="""", T$5=""""), """", IF(ISNUMBER(MATCH(T$5, IFERROR(FILTER('MASTER LIST'!$N$2:$AB$294, 'MASTER LIST'!$A$2:$A$294=$A12), """"), 0)), ""Y"", """"))"),"")</f>
        <v/>
      </c>
      <c r="U12" s="92" t="str">
        <f>IFERROR(__xludf.DUMMYFUNCTION("IF(OR($A12="""", U$5=""""), """", IF(ISNUMBER(MATCH(U$5, IFERROR(FILTER('MASTER LIST'!$N$2:$AB$294, 'MASTER LIST'!$A$2:$A$294=$A12), """"), 0)), ""Y"", """"))"),"")</f>
        <v/>
      </c>
      <c r="V12" s="92" t="str">
        <f>IFERROR(__xludf.DUMMYFUNCTION("IF(OR($A12="""", V$5=""""), """", IF(ISNUMBER(MATCH(V$5, IFERROR(FILTER('MASTER LIST'!$N$2:$AB$294, 'MASTER LIST'!$A$2:$A$294=$A12), """"), 0)), ""Y"", """"))"),"")</f>
        <v/>
      </c>
      <c r="W12" s="92" t="str">
        <f>IFERROR(__xludf.DUMMYFUNCTION("IF(OR($A12="""", W$5=""""), """", IF(ISNUMBER(MATCH(W$5, IFERROR(FILTER('MASTER LIST'!$N$2:$AB$294, 'MASTER LIST'!$A$2:$A$294=$A12), """"), 0)), ""Y"", """"))"),"")</f>
        <v/>
      </c>
      <c r="X12" s="92" t="str">
        <f>IFERROR(__xludf.DUMMYFUNCTION("IF(OR($A12="""", X$5=""""), """", IF(ISNUMBER(MATCH(X$5, IFERROR(FILTER('MASTER LIST'!$N$2:$AB$294, 'MASTER LIST'!$A$2:$A$294=$A12), """"), 0)), ""Y"", """"))"),"")</f>
        <v/>
      </c>
      <c r="Y12" s="92" t="str">
        <f>IFERROR(__xludf.DUMMYFUNCTION("IF(OR($A12="""", Y$5=""""), """", IF(ISNUMBER(MATCH(Y$5, IFERROR(FILTER('MASTER LIST'!$N$2:$AB$294, 'MASTER LIST'!$A$2:$A$294=$A12), """"), 0)), ""Y"", """"))"),"")</f>
        <v/>
      </c>
      <c r="Z12" s="92" t="str">
        <f>IFERROR(__xludf.DUMMYFUNCTION("IF(OR($A12="""", Z$5=""""), """", IF(ISNUMBER(MATCH(Z$5, IFERROR(FILTER('MASTER LIST'!$N$2:$AB$294, 'MASTER LIST'!$A$2:$A$294=$A12), """"), 0)), ""Y"", """"))"),"")</f>
        <v/>
      </c>
      <c r="AA12" s="92" t="str">
        <f>IFERROR(__xludf.DUMMYFUNCTION("IF(OR($A12="""", AA$5=""""), """", IF(ISNUMBER(MATCH(AA$5, IFERROR(FILTER('MASTER LIST'!$N$2:$AB$294, 'MASTER LIST'!$A$2:$A$294=$A12), """"), 0)), ""Y"", """"))"),"")</f>
        <v/>
      </c>
      <c r="AB12" s="92" t="str">
        <f>IFERROR(__xludf.DUMMYFUNCTION("IF(OR($A12="""", AB$5=""""), """", IF(ISNUMBER(MATCH(AB$5, IFERROR(FILTER('MASTER LIST'!$N$2:$AB$294, 'MASTER LIST'!$A$2:$A$294=$A12), """"), 0)), ""Y"", """"))"),"")</f>
        <v/>
      </c>
      <c r="AC12" s="92" t="str">
        <f>IFERROR(__xludf.DUMMYFUNCTION("IF(OR($A12="""", AC$5=""""), """", IF(ISNUMBER(MATCH(AC$5, IFERROR(FILTER('MASTER LIST'!$N$2:$AB$294, 'MASTER LIST'!$A$2:$A$294=$A12), """"), 0)), ""Y"", """"))"),"")</f>
        <v/>
      </c>
      <c r="AD12" s="92" t="str">
        <f>IFERROR(__xludf.DUMMYFUNCTION("IF(OR($A12="""", AD$5=""""), """", IF(ISNUMBER(MATCH(AD$5, IFERROR(FILTER('MASTER LIST'!$N$2:$AB$294, 'MASTER LIST'!$A$2:$A$294=$A12), """"), 0)), ""Y"", """"))"),"")</f>
        <v/>
      </c>
      <c r="AE12" s="92" t="str">
        <f>IFERROR(__xludf.DUMMYFUNCTION("IF(OR($A12="""", AE$5=""""), """", IF(ISNUMBER(MATCH(AE$5, IFERROR(FILTER('MASTER LIST'!$N$2:$AB$294, 'MASTER LIST'!$A$2:$A$294=$A12), """"), 0)), ""Y"", """"))"),"")</f>
        <v/>
      </c>
      <c r="AF12" s="92" t="str">
        <f>IFERROR(__xludf.DUMMYFUNCTION("IF(OR($A12="""", AF$5=""""), """", IF(ISNUMBER(MATCH(AF$5, IFERROR(FILTER('MASTER LIST'!$N$2:$AB$294, 'MASTER LIST'!$A$2:$A$294=$A12), """"), 0)), ""Y"", """"))"),"")</f>
        <v/>
      </c>
      <c r="AG12" s="92" t="str">
        <f>IFERROR(__xludf.DUMMYFUNCTION("IF(OR($A12="""", AG$5=""""), """", IF(ISNUMBER(MATCH(AG$5, IFERROR(FILTER('MASTER LIST'!$N$2:$AB$294, 'MASTER LIST'!$A$2:$A$294=$A12), """"), 0)), ""Y"", """"))"),"")</f>
        <v/>
      </c>
      <c r="AH12" s="92" t="str">
        <f>IFERROR(__xludf.DUMMYFUNCTION("IF(OR($A12="""", AH$5=""""), """", IF(ISNUMBER(MATCH(AH$5, IFERROR(FILTER('MASTER LIST'!$N$2:$AB$294, 'MASTER LIST'!$A$2:$A$294=$A12), """"), 0)), ""Y"", """"))"),"")</f>
        <v/>
      </c>
      <c r="AI12" s="92" t="str">
        <f>IFERROR(__xludf.DUMMYFUNCTION("IF(OR($A12="""", AI$5=""""), """", IF(ISNUMBER(MATCH(AI$5, IFERROR(FILTER('MASTER LIST'!$N$2:$AB$294, 'MASTER LIST'!$A$2:$A$294=$A12), """"), 0)), ""Y"", """"))"),"")</f>
        <v/>
      </c>
      <c r="AJ12" s="92" t="str">
        <f>IFERROR(__xludf.DUMMYFUNCTION("IF(OR($A12="""", AJ$5=""""), """", IF(ISNUMBER(MATCH(AJ$5, IFERROR(FILTER('MASTER LIST'!$N$2:$AB$294, 'MASTER LIST'!$A$2:$A$294=$A12), """"), 0)), ""Y"", """"))"),"")</f>
        <v/>
      </c>
      <c r="AK12" s="92" t="str">
        <f>IFERROR(__xludf.DUMMYFUNCTION("IF(OR($A12="""", AK$5=""""), """", IF(ISNUMBER(MATCH(AK$5, IFERROR(FILTER('MASTER LIST'!$N$2:$AB$294, 'MASTER LIST'!$A$2:$A$294=$A12), """"), 0)), ""Y"", """"))"),"")</f>
        <v/>
      </c>
      <c r="AL12" s="92" t="str">
        <f>IFERROR(__xludf.DUMMYFUNCTION("IF(OR($A12="""", AL$5=""""), """", IF(ISNUMBER(MATCH(AL$5, IFERROR(FILTER('MASTER LIST'!$N$2:$AB$294, 'MASTER LIST'!$A$2:$A$294=$A12), """"), 0)), ""Y"", """"))"),"")</f>
        <v/>
      </c>
      <c r="AM12" s="92" t="str">
        <f>IFERROR(__xludf.DUMMYFUNCTION("IF(OR($A12="""", AM$5=""""), """", IF(ISNUMBER(MATCH(AM$5, IFERROR(FILTER('MASTER LIST'!$N$2:$AB$294, 'MASTER LIST'!$A$2:$A$294=$A12), """"), 0)), ""Y"", """"))"),"")</f>
        <v/>
      </c>
      <c r="AN12" s="92" t="str">
        <f>IFERROR(__xludf.DUMMYFUNCTION("IF(OR($A12="""", AN$5=""""), """", IF(ISNUMBER(MATCH(AN$5, IFERROR(FILTER('MASTER LIST'!$N$2:$AB$294, 'MASTER LIST'!$A$2:$A$294=$A12), """"), 0)), ""Y"", """"))"),"")</f>
        <v/>
      </c>
      <c r="AO12" s="92" t="str">
        <f>IFERROR(__xludf.DUMMYFUNCTION("IF(OR($A12="""", AO$5=""""), """", IF(ISNUMBER(MATCH(AO$5, IFERROR(FILTER('MASTER LIST'!$N$2:$AB$294, 'MASTER LIST'!$A$2:$A$294=$A12), """"), 0)), ""Y"", """"))"),"")</f>
        <v/>
      </c>
      <c r="AP12" s="92" t="str">
        <f>IFERROR(__xludf.DUMMYFUNCTION("IF(OR($A12="""", AP$5=""""), """", IF(ISNUMBER(MATCH(AP$5, IFERROR(FILTER('MASTER LIST'!$N$2:$AB$294, 'MASTER LIST'!$A$2:$A$294=$A12), """"), 0)), ""Y"", """"))"),"")</f>
        <v/>
      </c>
      <c r="AQ12" s="92" t="str">
        <f>IFERROR(__xludf.DUMMYFUNCTION("IF(OR($A12="""", AQ$5=""""), """", IF(ISNUMBER(MATCH(AQ$5, IFERROR(FILTER('MASTER LIST'!$N$2:$AB$294, 'MASTER LIST'!$A$2:$A$294=$A12), """"), 0)), ""Y"", """"))"),"")</f>
        <v/>
      </c>
      <c r="AR12" s="92" t="str">
        <f>IFERROR(__xludf.DUMMYFUNCTION("IF(OR($A12="""", AR$5=""""), """", IF(ISNUMBER(MATCH(AR$5, IFERROR(FILTER('MASTER LIST'!$N$2:$AB$294, 'MASTER LIST'!$A$2:$A$294=$A12), """"), 0)), ""Y"", """"))"),"")</f>
        <v/>
      </c>
      <c r="AS12" s="92" t="str">
        <f>IFERROR(__xludf.DUMMYFUNCTION("IF(OR($A12="""", AS$5=""""), """", IF(ISNUMBER(MATCH(AS$5, IFERROR(FILTER('MASTER LIST'!$N$2:$AB$294, 'MASTER LIST'!$A$2:$A$294=$A12), """"), 0)), ""Y"", """"))"),"")</f>
        <v/>
      </c>
      <c r="AT12" s="92" t="str">
        <f>IFERROR(__xludf.DUMMYFUNCTION("IF(OR($A12="""", AT$5=""""), """", IF(ISNUMBER(MATCH(AT$5, IFERROR(FILTER('MASTER LIST'!$N$2:$AB$294, 'MASTER LIST'!$A$2:$A$294=$A12), """"), 0)), ""Y"", """"))"),"")</f>
        <v/>
      </c>
      <c r="AU12" s="92" t="str">
        <f>IFERROR(__xludf.DUMMYFUNCTION("IF(OR($A12="""", AU$5=""""), """", IF(ISNUMBER(MATCH(AU$5, IFERROR(FILTER('MASTER LIST'!$N$2:$AB$294, 'MASTER LIST'!$A$2:$A$294=$A12), """"), 0)), ""Y"", """"))"),"")</f>
        <v/>
      </c>
      <c r="AV12" s="92" t="str">
        <f>IFERROR(__xludf.DUMMYFUNCTION("IF(OR($A12="""", AV$5=""""), """", IF(ISNUMBER(MATCH(AV$5, IFERROR(FILTER('MASTER LIST'!$N$2:$AB$294, 'MASTER LIST'!$A$2:$A$294=$A12), """"), 0)), ""Y"", """"))"),"")</f>
        <v/>
      </c>
      <c r="AW12" s="92" t="str">
        <f>IFERROR(__xludf.DUMMYFUNCTION("IF(OR($A12="""", AW$5=""""), """", IF(ISNUMBER(MATCH(AW$5, IFERROR(FILTER('MASTER LIST'!$N$2:$AB$294, 'MASTER LIST'!$A$2:$A$294=$A12), """"), 0)), ""Y"", """"))"),"")</f>
        <v/>
      </c>
      <c r="AX12" s="92" t="str">
        <f>IFERROR(__xludf.DUMMYFUNCTION("IF(OR($A12="""", AX$5=""""), """", IF(ISNUMBER(MATCH(AX$5, IFERROR(FILTER('MASTER LIST'!$N$2:$AB$294, 'MASTER LIST'!$A$2:$A$294=$A12), """"), 0)), ""Y"", """"))"),"")</f>
        <v/>
      </c>
      <c r="AY12" s="92" t="str">
        <f>IFERROR(__xludf.DUMMYFUNCTION("IF(OR($A12="""", AY$5=""""), """", IF(ISNUMBER(MATCH(AY$5, IFERROR(FILTER('MASTER LIST'!$N$2:$AB$294, 'MASTER LIST'!$A$2:$A$294=$A12), """"), 0)), ""Y"", """"))"),"")</f>
        <v/>
      </c>
      <c r="AZ12" s="92" t="str">
        <f>IFERROR(__xludf.DUMMYFUNCTION("IF(OR($A12="""", AZ$5=""""), """", IF(ISNUMBER(MATCH(AZ$5, IFERROR(FILTER('MASTER LIST'!$N$2:$AB$294, 'MASTER LIST'!$A$2:$A$294=$A12), """"), 0)), ""Y"", """"))"),"")</f>
        <v/>
      </c>
      <c r="BA12" s="92" t="str">
        <f>IFERROR(__xludf.DUMMYFUNCTION("IF(OR($A12="""", BA$5=""""), """", IF(ISNUMBER(MATCH(BA$5, IFERROR(FILTER('MASTER LIST'!$N$2:$AB$294, 'MASTER LIST'!$A$2:$A$294=$A12), """"), 0)), ""Y"", """"))"),"")</f>
        <v/>
      </c>
      <c r="BB12" s="92" t="str">
        <f>IFERROR(__xludf.DUMMYFUNCTION("IF(OR($A12="""", BB$5=""""), """", IF(ISNUMBER(MATCH(BB$5, IFERROR(FILTER('MASTER LIST'!$N$2:$AB$294, 'MASTER LIST'!$A$2:$A$294=$A12), """"), 0)), ""Y"", """"))"),"")</f>
        <v/>
      </c>
      <c r="BC12" s="92" t="str">
        <f>IFERROR(__xludf.DUMMYFUNCTION("IF(OR($A12="""", BC$5=""""), """", IF(ISNUMBER(MATCH(BC$5, IFERROR(FILTER('MASTER LIST'!$N$2:$AB$294, 'MASTER LIST'!$A$2:$A$294=$A12), """"), 0)), ""Y"", """"))"),"")</f>
        <v/>
      </c>
      <c r="BD12" s="92" t="str">
        <f>IFERROR(__xludf.DUMMYFUNCTION("IF(OR($A12="""", BD$5=""""), """", IF(ISNUMBER(MATCH(BD$5, IFERROR(FILTER('MASTER LIST'!$N$2:$AB$294, 'MASTER LIST'!$A$2:$A$294=$A12), """"), 0)), ""Y"", """"))"),"")</f>
        <v/>
      </c>
      <c r="BE12" s="92" t="str">
        <f>IFERROR(__xludf.DUMMYFUNCTION("IF(OR($A12="""", BE$5=""""), """", IF(ISNUMBER(MATCH(BE$5, IFERROR(FILTER('MASTER LIST'!$N$2:$AB$294, 'MASTER LIST'!$A$2:$A$294=$A12), """"), 0)), ""Y"", """"))"),"")</f>
        <v/>
      </c>
      <c r="BF12" s="92" t="str">
        <f>IFERROR(__xludf.DUMMYFUNCTION("IF(OR($A12="""", BF$5=""""), """", IF(ISNUMBER(MATCH(BF$5, IFERROR(FILTER('MASTER LIST'!$N$2:$AB$294, 'MASTER LIST'!$A$2:$A$294=$A12), """"), 0)), ""Y"", """"))"),"")</f>
        <v/>
      </c>
      <c r="BG12" s="92" t="str">
        <f>IFERROR(__xludf.DUMMYFUNCTION("IF(OR($A12="""", BG$5=""""), """", IF(ISNUMBER(MATCH(BG$5, IFERROR(FILTER('MASTER LIST'!$N$2:$AB$294, 'MASTER LIST'!$A$2:$A$294=$A12), """"), 0)), ""Y"", """"))"),"")</f>
        <v/>
      </c>
      <c r="BH12" s="92" t="str">
        <f>IFERROR(__xludf.DUMMYFUNCTION("IF(OR($A12="""", BH$5=""""), """", IF(ISNUMBER(MATCH(BH$5, IFERROR(FILTER('MASTER LIST'!$N$2:$AB$294, 'MASTER LIST'!$A$2:$A$294=$A12), """"), 0)), ""Y"", """"))"),"")</f>
        <v/>
      </c>
      <c r="BI12" s="92" t="str">
        <f>IFERROR(__xludf.DUMMYFUNCTION("IF(OR($A12="""", BI$5=""""), """", IF(ISNUMBER(MATCH(BI$5, IFERROR(FILTER('MASTER LIST'!$N$2:$AB$294, 'MASTER LIST'!$A$2:$A$294=$A12), """"), 0)), ""Y"", """"))"),"")</f>
        <v/>
      </c>
      <c r="BJ12" s="92" t="str">
        <f>IFERROR(__xludf.DUMMYFUNCTION("IF(OR($A12="""", BJ$5=""""), """", IF(ISNUMBER(MATCH(BJ$5, IFERROR(FILTER('MASTER LIST'!$N$2:$AB$294, 'MASTER LIST'!$A$2:$A$294=$A12), """"), 0)), ""Y"", """"))"),"")</f>
        <v/>
      </c>
      <c r="BK12" s="92" t="str">
        <f>IFERROR(__xludf.DUMMYFUNCTION("IF(OR($A12="""", BK$5=""""), """", IF(ISNUMBER(MATCH(BK$5, IFERROR(FILTER('MASTER LIST'!$N$2:$AB$294, 'MASTER LIST'!$A$2:$A$294=$A12), """"), 0)), ""Y"", """"))"),"")</f>
        <v/>
      </c>
      <c r="BL12" s="92" t="str">
        <f>IFERROR(__xludf.DUMMYFUNCTION("IF(OR($A12="""", BL$5=""""), """", IF(ISNUMBER(MATCH(BL$5, IFERROR(FILTER('MASTER LIST'!$N$2:$AB$294, 'MASTER LIST'!$A$2:$A$294=$A12), """"), 0)), ""Y"", """"))"),"")</f>
        <v/>
      </c>
      <c r="BM12" s="92" t="str">
        <f>IFERROR(__xludf.DUMMYFUNCTION("IF(OR($A12="""", BM$5=""""), """", IF(ISNUMBER(MATCH(BM$5, IFERROR(FILTER('MASTER LIST'!$N$2:$AB$294, 'MASTER LIST'!$A$2:$A$294=$A12), """"), 0)), ""Y"", """"))"),"")</f>
        <v/>
      </c>
      <c r="BN12" s="92" t="str">
        <f>IFERROR(__xludf.DUMMYFUNCTION("IF(OR($A12="""", BN$5=""""), """", IF(ISNUMBER(MATCH(BN$5, IFERROR(FILTER('MASTER LIST'!$N$2:$AB$294, 'MASTER LIST'!$A$2:$A$294=$A12), """"), 0)), ""Y"", """"))"),"")</f>
        <v/>
      </c>
      <c r="BO12" s="92" t="str">
        <f>IFERROR(__xludf.DUMMYFUNCTION("IF(OR($A12="""", BO$5=""""), """", IF(ISNUMBER(MATCH(BO$5, IFERROR(FILTER('MASTER LIST'!$N$2:$AB$294, 'MASTER LIST'!$A$2:$A$294=$A12), """"), 0)), ""Y"", """"))"),"")</f>
        <v/>
      </c>
      <c r="BP12" s="92" t="str">
        <f>IFERROR(__xludf.DUMMYFUNCTION("IF(OR($A12="""", BP$5=""""), """", IF(ISNUMBER(MATCH(BP$5, IFERROR(FILTER('MASTER LIST'!$N$2:$AB$294, 'MASTER LIST'!$A$2:$A$294=$A12), """"), 0)), ""Y"", """"))"),"")</f>
        <v/>
      </c>
      <c r="BQ12" s="92" t="str">
        <f>IFERROR(__xludf.DUMMYFUNCTION("IF(OR($A12="""", BQ$5=""""), """", IF(ISNUMBER(MATCH(BQ$5, IFERROR(FILTER('MASTER LIST'!$N$2:$AB$294, 'MASTER LIST'!$A$2:$A$294=$A12), """"), 0)), ""Y"", """"))"),"")</f>
        <v/>
      </c>
      <c r="BR12" s="92" t="str">
        <f>IFERROR(__xludf.DUMMYFUNCTION("IF(OR($A12="""", BR$5=""""), """", IF(ISNUMBER(MATCH(BR$5, IFERROR(FILTER('MASTER LIST'!$N$2:$AB$294, 'MASTER LIST'!$A$2:$A$294=$A12), """"), 0)), ""Y"", """"))"),"")</f>
        <v/>
      </c>
      <c r="BS12" s="92" t="str">
        <f>IFERROR(__xludf.DUMMYFUNCTION("IF(OR($A12="""", BS$5=""""), """", IF(ISNUMBER(MATCH(BS$5, IFERROR(FILTER('MASTER LIST'!$N$2:$AB$294, 'MASTER LIST'!$A$2:$A$294=$A12), """"), 0)), ""Y"", """"))"),"")</f>
        <v/>
      </c>
      <c r="BT12" s="92" t="str">
        <f>IFERROR(__xludf.DUMMYFUNCTION("IF(OR($A12="""", BT$5=""""), """", IF(ISNUMBER(MATCH(BT$5, IFERROR(FILTER('MASTER LIST'!$N$2:$AB$294, 'MASTER LIST'!$A$2:$A$294=$A12), """"), 0)), ""Y"", """"))"),"")</f>
        <v/>
      </c>
      <c r="BU12" s="92" t="str">
        <f>IFERROR(__xludf.DUMMYFUNCTION("IF(OR($A12="""", BU$5=""""), """", IF(ISNUMBER(MATCH(BU$5, IFERROR(FILTER('MASTER LIST'!$N$2:$AB$294, 'MASTER LIST'!$A$2:$A$294=$A12), """"), 0)), ""Y"", """"))"),"")</f>
        <v/>
      </c>
      <c r="BV12" s="92" t="str">
        <f>IFERROR(__xludf.DUMMYFUNCTION("IF(OR($A12="""", BV$5=""""), """", IF(ISNUMBER(MATCH(BV$5, IFERROR(FILTER('MASTER LIST'!$N$2:$AB$294, 'MASTER LIST'!$A$2:$A$294=$A12), """"), 0)), ""Y"", """"))"),"")</f>
        <v/>
      </c>
      <c r="BW12" s="92" t="str">
        <f>IFERROR(__xludf.DUMMYFUNCTION("IF(OR($A12="""", BW$5=""""), """", IF(ISNUMBER(MATCH(BW$5, IFERROR(FILTER('MASTER LIST'!$N$2:$AB$294, 'MASTER LIST'!$A$2:$A$294=$A12), """"), 0)), ""Y"", """"))"),"")</f>
        <v/>
      </c>
      <c r="BX12" s="92" t="str">
        <f>IFERROR(__xludf.DUMMYFUNCTION("IF(OR($A12="""", BX$5=""""), """", IF(ISNUMBER(MATCH(BX$5, IFERROR(FILTER('MASTER LIST'!$N$2:$AB$294, 'MASTER LIST'!$A$2:$A$294=$A12), """"), 0)), ""Y"", """"))"),"")</f>
        <v/>
      </c>
      <c r="BY12" s="92" t="str">
        <f>IFERROR(__xludf.DUMMYFUNCTION("IF(OR($A12="""", BY$5=""""), """", IF(ISNUMBER(MATCH(BY$5, IFERROR(FILTER('MASTER LIST'!$N$2:$AB$294, 'MASTER LIST'!$A$2:$A$294=$A12), """"), 0)), ""Y"", """"))"),"")</f>
        <v/>
      </c>
      <c r="BZ12" s="92" t="str">
        <f>IFERROR(__xludf.DUMMYFUNCTION("IF(OR($A12="""", BZ$5=""""), """", IF(ISNUMBER(MATCH(BZ$5, IFERROR(FILTER('MASTER LIST'!$N$2:$AB$294, 'MASTER LIST'!$A$2:$A$294=$A12), """"), 0)), ""Y"", """"))"),"")</f>
        <v/>
      </c>
      <c r="CA12" s="92" t="str">
        <f>IFERROR(__xludf.DUMMYFUNCTION("IF(OR($A12="""", CA$5=""""), """", IF(ISNUMBER(MATCH(CA$5, IFERROR(FILTER('MASTER LIST'!$N$2:$AB$294, 'MASTER LIST'!$A$2:$A$294=$A12), """"), 0)), ""Y"", """"))"),"")</f>
        <v/>
      </c>
      <c r="CB12" s="92" t="str">
        <f>IFERROR(__xludf.DUMMYFUNCTION("IF(OR($A12="""", CB$5=""""), """", IF(ISNUMBER(MATCH(CB$5, IFERROR(FILTER('MASTER LIST'!$N$2:$AB$294, 'MASTER LIST'!$A$2:$A$294=$A12), """"), 0)), ""Y"", """"))"),"")</f>
        <v/>
      </c>
      <c r="CC12" s="92"/>
      <c r="CD12" s="92"/>
      <c r="CE12" s="92"/>
      <c r="CF12" s="92"/>
      <c r="CG12" s="92"/>
      <c r="CH12" s="92"/>
      <c r="CI12" s="92"/>
      <c r="CJ12" s="92"/>
      <c r="CK12" s="92"/>
    </row>
    <row r="13">
      <c r="A13" s="75">
        <f>IFERROR(__xludf.DUMMYFUNCTION("""COMPUTED_VALUE"""),389.0)</f>
        <v>389</v>
      </c>
      <c r="B13" s="75" t="str">
        <f>IFERROR(__xludf.DUMMYFUNCTION("""COMPUTED_VALUE"""),"MUHAMMED AMEEN P C")</f>
        <v>MUHAMMED AMEEN P C</v>
      </c>
      <c r="C13" s="75">
        <f>IFERROR(__xludf.DUMMYFUNCTION("""COMPUTED_VALUE"""),5.0)</f>
        <v>5</v>
      </c>
      <c r="D13" s="75" t="str">
        <f>IFERROR(__xludf.DUMMYFUNCTION("""COMPUTED_VALUE"""),"THĀNIYAH")</f>
        <v>THĀNIYAH</v>
      </c>
      <c r="E13" s="75" t="str">
        <f>IFERROR(__xludf.DUMMYFUNCTION("""COMPUTED_VALUE"""),"TEAM C")</f>
        <v>TEAM C</v>
      </c>
      <c r="F13" s="75" t="str">
        <f>IFERROR(__xludf.DUMMYFUNCTION("""COMPUTED_VALUE"""),"Min 1 Required (Stage &amp; Non-Stage)")</f>
        <v>Min 1 Required (Stage &amp; Non-Stage)</v>
      </c>
      <c r="G13" s="91" t="str">
        <f>IFERROR(__xludf.DUMMYFUNCTION("IF(OR($A13="""", G$5=""""), """", IF(ISNUMBER(MATCH(G$5, IFERROR(FILTER('MASTER LIST'!$N$2:$W$294, 'MASTER LIST'!$A$2:$A$294=$A13), """"), 0)), ""Y"", """"))"),"")</f>
        <v/>
      </c>
      <c r="H13" s="92" t="str">
        <f>IFERROR(__xludf.DUMMYFUNCTION("IF(OR($A13="""", H$5=""""), """", IF(ISNUMBER(MATCH(H$5, IFERROR(FILTER('MASTER LIST'!$N$2:$W$294, 'MASTER LIST'!$A$2:$A$294=$A13), """"), 0)), ""Y"", """"))"),"")</f>
        <v/>
      </c>
      <c r="I13" s="92" t="str">
        <f>IFERROR(__xludf.DUMMYFUNCTION("IF(OR($A13="""", I$5=""""), """", IF(ISNUMBER(MATCH(I$5, IFERROR(FILTER('MASTER LIST'!$N$2:$W$294, 'MASTER LIST'!$A$2:$A$294=$A13), """"), 0)), ""Y"", """"))"),"")</f>
        <v/>
      </c>
      <c r="J13" s="92" t="str">
        <f>IFERROR(__xludf.DUMMYFUNCTION("IF(OR($A13="""", J$5=""""), """", IF(ISNUMBER(MATCH(J$5, IFERROR(FILTER('MASTER LIST'!$N$2:$W$294, 'MASTER LIST'!$A$2:$A$294=$A13), """"), 0)), ""Y"", """"))"),"")</f>
        <v/>
      </c>
      <c r="K13" s="92" t="str">
        <f>IFERROR(__xludf.DUMMYFUNCTION("IF(OR($A13="""", K$5=""""), """", IF(ISNUMBER(MATCH(K$5, IFERROR(FILTER('MASTER LIST'!$N$2:$W$294, 'MASTER LIST'!$A$2:$A$294=$A13), """"), 0)), ""Y"", """"))"),"")</f>
        <v/>
      </c>
      <c r="L13" s="92" t="str">
        <f>IFERROR(__xludf.DUMMYFUNCTION("IF(OR($A13="""", L$5=""""), """", IF(ISNUMBER(MATCH(L$5, IFERROR(FILTER('MASTER LIST'!$N$2:$W$294, 'MASTER LIST'!$A$2:$A$294=$A13), """"), 0)), ""Y"", """"))"),"")</f>
        <v/>
      </c>
      <c r="M13" s="91" t="str">
        <f>IFERROR(__xludf.DUMMYFUNCTION("IF(OR($A13="""", M$5=""""), """", IF(ISNUMBER(MATCH(M$5, IFERROR(FILTER('MASTER LIST'!$N$2:$W$294, 'MASTER LIST'!$A$2:$A$294=$A13), """"), 0)), ""Y"", """"))"),"")</f>
        <v/>
      </c>
      <c r="N13" s="92" t="str">
        <f>IFERROR(__xludf.DUMMYFUNCTION("IF(OR($A13="""", N$5=""""), """", IF(ISNUMBER(MATCH(N$5, IFERROR(FILTER('MASTER LIST'!$N$2:$W$294, 'MASTER LIST'!$A$2:$A$294=$A13), """"), 0)), ""Y"", """"))"),"")</f>
        <v/>
      </c>
      <c r="O13" s="92" t="str">
        <f>IFERROR(__xludf.DUMMYFUNCTION("IF(OR($A13="""", O$5=""""), """", IF(ISNUMBER(MATCH(O$5, IFERROR(FILTER('MASTER LIST'!$N$2:$W$294, 'MASTER LIST'!$A$2:$A$294=$A13), """"), 0)), ""Y"", """"))"),"")</f>
        <v/>
      </c>
      <c r="P13" s="92" t="str">
        <f>IFERROR(__xludf.DUMMYFUNCTION("IF(OR($A13="""", P$5=""""), """", IF(ISNUMBER(MATCH(P$5, IFERROR(FILTER('MASTER LIST'!$N$2:$W$294, 'MASTER LIST'!$A$2:$A$294=$A13), """"), 0)), ""Y"", """"))"),"")</f>
        <v/>
      </c>
      <c r="Q13" s="92" t="str">
        <f>IFERROR(__xludf.DUMMYFUNCTION("IF(OR($A13="""", Q$5=""""), """", IF(ISNUMBER(MATCH(Q$5, IFERROR(FILTER('MASTER LIST'!$N$2:$AB$294, 'MASTER LIST'!$A$2:$A$294=$A13), """"), 0)), ""Y"", """"))"),"")</f>
        <v/>
      </c>
      <c r="R13" s="92" t="str">
        <f>IFERROR(__xludf.DUMMYFUNCTION("IF(OR($A13="""", R$5=""""), """", IF(ISNUMBER(MATCH(R$5, IFERROR(FILTER('MASTER LIST'!$N$2:$AB$294, 'MASTER LIST'!$A$2:$A$294=$A13), """"), 0)), ""Y"", """"))"),"")</f>
        <v/>
      </c>
      <c r="S13" s="92" t="str">
        <f>IFERROR(__xludf.DUMMYFUNCTION("IF(OR($A13="""", S$5=""""), """", IF(ISNUMBER(MATCH(S$5, IFERROR(FILTER('MASTER LIST'!$N$2:$AB$294, 'MASTER LIST'!$A$2:$A$294=$A13), """"), 0)), ""Y"", """"))"),"")</f>
        <v/>
      </c>
      <c r="T13" s="92" t="str">
        <f>IFERROR(__xludf.DUMMYFUNCTION("IF(OR($A13="""", T$5=""""), """", IF(ISNUMBER(MATCH(T$5, IFERROR(FILTER('MASTER LIST'!$N$2:$AB$294, 'MASTER LIST'!$A$2:$A$294=$A13), """"), 0)), ""Y"", """"))"),"")</f>
        <v/>
      </c>
      <c r="U13" s="92" t="str">
        <f>IFERROR(__xludf.DUMMYFUNCTION("IF(OR($A13="""", U$5=""""), """", IF(ISNUMBER(MATCH(U$5, IFERROR(FILTER('MASTER LIST'!$N$2:$AB$294, 'MASTER LIST'!$A$2:$A$294=$A13), """"), 0)), ""Y"", """"))"),"")</f>
        <v/>
      </c>
      <c r="V13" s="92" t="str">
        <f>IFERROR(__xludf.DUMMYFUNCTION("IF(OR($A13="""", V$5=""""), """", IF(ISNUMBER(MATCH(V$5, IFERROR(FILTER('MASTER LIST'!$N$2:$AB$294, 'MASTER LIST'!$A$2:$A$294=$A13), """"), 0)), ""Y"", """"))"),"")</f>
        <v/>
      </c>
      <c r="W13" s="92" t="str">
        <f>IFERROR(__xludf.DUMMYFUNCTION("IF(OR($A13="""", W$5=""""), """", IF(ISNUMBER(MATCH(W$5, IFERROR(FILTER('MASTER LIST'!$N$2:$AB$294, 'MASTER LIST'!$A$2:$A$294=$A13), """"), 0)), ""Y"", """"))"),"")</f>
        <v/>
      </c>
      <c r="X13" s="92" t="str">
        <f>IFERROR(__xludf.DUMMYFUNCTION("IF(OR($A13="""", X$5=""""), """", IF(ISNUMBER(MATCH(X$5, IFERROR(FILTER('MASTER LIST'!$N$2:$AB$294, 'MASTER LIST'!$A$2:$A$294=$A13), """"), 0)), ""Y"", """"))"),"")</f>
        <v/>
      </c>
      <c r="Y13" s="92" t="str">
        <f>IFERROR(__xludf.DUMMYFUNCTION("IF(OR($A13="""", Y$5=""""), """", IF(ISNUMBER(MATCH(Y$5, IFERROR(FILTER('MASTER LIST'!$N$2:$AB$294, 'MASTER LIST'!$A$2:$A$294=$A13), """"), 0)), ""Y"", """"))"),"")</f>
        <v/>
      </c>
      <c r="Z13" s="92" t="str">
        <f>IFERROR(__xludf.DUMMYFUNCTION("IF(OR($A13="""", Z$5=""""), """", IF(ISNUMBER(MATCH(Z$5, IFERROR(FILTER('MASTER LIST'!$N$2:$AB$294, 'MASTER LIST'!$A$2:$A$294=$A13), """"), 0)), ""Y"", """"))"),"")</f>
        <v/>
      </c>
      <c r="AA13" s="92" t="str">
        <f>IFERROR(__xludf.DUMMYFUNCTION("IF(OR($A13="""", AA$5=""""), """", IF(ISNUMBER(MATCH(AA$5, IFERROR(FILTER('MASTER LIST'!$N$2:$AB$294, 'MASTER LIST'!$A$2:$A$294=$A13), """"), 0)), ""Y"", """"))"),"")</f>
        <v/>
      </c>
      <c r="AB13" s="92" t="str">
        <f>IFERROR(__xludf.DUMMYFUNCTION("IF(OR($A13="""", AB$5=""""), """", IF(ISNUMBER(MATCH(AB$5, IFERROR(FILTER('MASTER LIST'!$N$2:$AB$294, 'MASTER LIST'!$A$2:$A$294=$A13), """"), 0)), ""Y"", """"))"),"")</f>
        <v/>
      </c>
      <c r="AC13" s="92" t="str">
        <f>IFERROR(__xludf.DUMMYFUNCTION("IF(OR($A13="""", AC$5=""""), """", IF(ISNUMBER(MATCH(AC$5, IFERROR(FILTER('MASTER LIST'!$N$2:$AB$294, 'MASTER LIST'!$A$2:$A$294=$A13), """"), 0)), ""Y"", """"))"),"")</f>
        <v/>
      </c>
      <c r="AD13" s="92" t="str">
        <f>IFERROR(__xludf.DUMMYFUNCTION("IF(OR($A13="""", AD$5=""""), """", IF(ISNUMBER(MATCH(AD$5, IFERROR(FILTER('MASTER LIST'!$N$2:$AB$294, 'MASTER LIST'!$A$2:$A$294=$A13), """"), 0)), ""Y"", """"))"),"")</f>
        <v/>
      </c>
      <c r="AE13" s="92" t="str">
        <f>IFERROR(__xludf.DUMMYFUNCTION("IF(OR($A13="""", AE$5=""""), """", IF(ISNUMBER(MATCH(AE$5, IFERROR(FILTER('MASTER LIST'!$N$2:$AB$294, 'MASTER LIST'!$A$2:$A$294=$A13), """"), 0)), ""Y"", """"))"),"")</f>
        <v/>
      </c>
      <c r="AF13" s="92" t="str">
        <f>IFERROR(__xludf.DUMMYFUNCTION("IF(OR($A13="""", AF$5=""""), """", IF(ISNUMBER(MATCH(AF$5, IFERROR(FILTER('MASTER LIST'!$N$2:$AB$294, 'MASTER LIST'!$A$2:$A$294=$A13), """"), 0)), ""Y"", """"))"),"")</f>
        <v/>
      </c>
      <c r="AG13" s="92" t="str">
        <f>IFERROR(__xludf.DUMMYFUNCTION("IF(OR($A13="""", AG$5=""""), """", IF(ISNUMBER(MATCH(AG$5, IFERROR(FILTER('MASTER LIST'!$N$2:$AB$294, 'MASTER LIST'!$A$2:$A$294=$A13), """"), 0)), ""Y"", """"))"),"")</f>
        <v/>
      </c>
      <c r="AH13" s="92" t="str">
        <f>IFERROR(__xludf.DUMMYFUNCTION("IF(OR($A13="""", AH$5=""""), """", IF(ISNUMBER(MATCH(AH$5, IFERROR(FILTER('MASTER LIST'!$N$2:$AB$294, 'MASTER LIST'!$A$2:$A$294=$A13), """"), 0)), ""Y"", """"))"),"")</f>
        <v/>
      </c>
      <c r="AI13" s="92" t="str">
        <f>IFERROR(__xludf.DUMMYFUNCTION("IF(OR($A13="""", AI$5=""""), """", IF(ISNUMBER(MATCH(AI$5, IFERROR(FILTER('MASTER LIST'!$N$2:$AB$294, 'MASTER LIST'!$A$2:$A$294=$A13), """"), 0)), ""Y"", """"))"),"")</f>
        <v/>
      </c>
      <c r="AJ13" s="92" t="str">
        <f>IFERROR(__xludf.DUMMYFUNCTION("IF(OR($A13="""", AJ$5=""""), """", IF(ISNUMBER(MATCH(AJ$5, IFERROR(FILTER('MASTER LIST'!$N$2:$AB$294, 'MASTER LIST'!$A$2:$A$294=$A13), """"), 0)), ""Y"", """"))"),"")</f>
        <v/>
      </c>
      <c r="AK13" s="92" t="str">
        <f>IFERROR(__xludf.DUMMYFUNCTION("IF(OR($A13="""", AK$5=""""), """", IF(ISNUMBER(MATCH(AK$5, IFERROR(FILTER('MASTER LIST'!$N$2:$AB$294, 'MASTER LIST'!$A$2:$A$294=$A13), """"), 0)), ""Y"", """"))"),"")</f>
        <v/>
      </c>
      <c r="AL13" s="92" t="str">
        <f>IFERROR(__xludf.DUMMYFUNCTION("IF(OR($A13="""", AL$5=""""), """", IF(ISNUMBER(MATCH(AL$5, IFERROR(FILTER('MASTER LIST'!$N$2:$AB$294, 'MASTER LIST'!$A$2:$A$294=$A13), """"), 0)), ""Y"", """"))"),"")</f>
        <v/>
      </c>
      <c r="AM13" s="92" t="str">
        <f>IFERROR(__xludf.DUMMYFUNCTION("IF(OR($A13="""", AM$5=""""), """", IF(ISNUMBER(MATCH(AM$5, IFERROR(FILTER('MASTER LIST'!$N$2:$AB$294, 'MASTER LIST'!$A$2:$A$294=$A13), """"), 0)), ""Y"", """"))"),"")</f>
        <v/>
      </c>
      <c r="AN13" s="92" t="str">
        <f>IFERROR(__xludf.DUMMYFUNCTION("IF(OR($A13="""", AN$5=""""), """", IF(ISNUMBER(MATCH(AN$5, IFERROR(FILTER('MASTER LIST'!$N$2:$AB$294, 'MASTER LIST'!$A$2:$A$294=$A13), """"), 0)), ""Y"", """"))"),"")</f>
        <v/>
      </c>
      <c r="AO13" s="92" t="str">
        <f>IFERROR(__xludf.DUMMYFUNCTION("IF(OR($A13="""", AO$5=""""), """", IF(ISNUMBER(MATCH(AO$5, IFERROR(FILTER('MASTER LIST'!$N$2:$AB$294, 'MASTER LIST'!$A$2:$A$294=$A13), """"), 0)), ""Y"", """"))"),"")</f>
        <v/>
      </c>
      <c r="AP13" s="92" t="str">
        <f>IFERROR(__xludf.DUMMYFUNCTION("IF(OR($A13="""", AP$5=""""), """", IF(ISNUMBER(MATCH(AP$5, IFERROR(FILTER('MASTER LIST'!$N$2:$AB$294, 'MASTER LIST'!$A$2:$A$294=$A13), """"), 0)), ""Y"", """"))"),"")</f>
        <v/>
      </c>
      <c r="AQ13" s="92" t="str">
        <f>IFERROR(__xludf.DUMMYFUNCTION("IF(OR($A13="""", AQ$5=""""), """", IF(ISNUMBER(MATCH(AQ$5, IFERROR(FILTER('MASTER LIST'!$N$2:$AB$294, 'MASTER LIST'!$A$2:$A$294=$A13), """"), 0)), ""Y"", """"))"),"")</f>
        <v/>
      </c>
      <c r="AR13" s="92" t="str">
        <f>IFERROR(__xludf.DUMMYFUNCTION("IF(OR($A13="""", AR$5=""""), """", IF(ISNUMBER(MATCH(AR$5, IFERROR(FILTER('MASTER LIST'!$N$2:$AB$294, 'MASTER LIST'!$A$2:$A$294=$A13), """"), 0)), ""Y"", """"))"),"")</f>
        <v/>
      </c>
      <c r="AS13" s="92" t="str">
        <f>IFERROR(__xludf.DUMMYFUNCTION("IF(OR($A13="""", AS$5=""""), """", IF(ISNUMBER(MATCH(AS$5, IFERROR(FILTER('MASTER LIST'!$N$2:$AB$294, 'MASTER LIST'!$A$2:$A$294=$A13), """"), 0)), ""Y"", """"))"),"")</f>
        <v/>
      </c>
      <c r="AT13" s="92" t="str">
        <f>IFERROR(__xludf.DUMMYFUNCTION("IF(OR($A13="""", AT$5=""""), """", IF(ISNUMBER(MATCH(AT$5, IFERROR(FILTER('MASTER LIST'!$N$2:$AB$294, 'MASTER LIST'!$A$2:$A$294=$A13), """"), 0)), ""Y"", """"))"),"")</f>
        <v/>
      </c>
      <c r="AU13" s="92" t="str">
        <f>IFERROR(__xludf.DUMMYFUNCTION("IF(OR($A13="""", AU$5=""""), """", IF(ISNUMBER(MATCH(AU$5, IFERROR(FILTER('MASTER LIST'!$N$2:$AB$294, 'MASTER LIST'!$A$2:$A$294=$A13), """"), 0)), ""Y"", """"))"),"")</f>
        <v/>
      </c>
      <c r="AV13" s="92" t="str">
        <f>IFERROR(__xludf.DUMMYFUNCTION("IF(OR($A13="""", AV$5=""""), """", IF(ISNUMBER(MATCH(AV$5, IFERROR(FILTER('MASTER LIST'!$N$2:$AB$294, 'MASTER LIST'!$A$2:$A$294=$A13), """"), 0)), ""Y"", """"))"),"")</f>
        <v/>
      </c>
      <c r="AW13" s="92" t="str">
        <f>IFERROR(__xludf.DUMMYFUNCTION("IF(OR($A13="""", AW$5=""""), """", IF(ISNUMBER(MATCH(AW$5, IFERROR(FILTER('MASTER LIST'!$N$2:$AB$294, 'MASTER LIST'!$A$2:$A$294=$A13), """"), 0)), ""Y"", """"))"),"")</f>
        <v/>
      </c>
      <c r="AX13" s="92" t="str">
        <f>IFERROR(__xludf.DUMMYFUNCTION("IF(OR($A13="""", AX$5=""""), """", IF(ISNUMBER(MATCH(AX$5, IFERROR(FILTER('MASTER LIST'!$N$2:$AB$294, 'MASTER LIST'!$A$2:$A$294=$A13), """"), 0)), ""Y"", """"))"),"")</f>
        <v/>
      </c>
      <c r="AY13" s="92" t="str">
        <f>IFERROR(__xludf.DUMMYFUNCTION("IF(OR($A13="""", AY$5=""""), """", IF(ISNUMBER(MATCH(AY$5, IFERROR(FILTER('MASTER LIST'!$N$2:$AB$294, 'MASTER LIST'!$A$2:$A$294=$A13), """"), 0)), ""Y"", """"))"),"")</f>
        <v/>
      </c>
      <c r="AZ13" s="92" t="str">
        <f>IFERROR(__xludf.DUMMYFUNCTION("IF(OR($A13="""", AZ$5=""""), """", IF(ISNUMBER(MATCH(AZ$5, IFERROR(FILTER('MASTER LIST'!$N$2:$AB$294, 'MASTER LIST'!$A$2:$A$294=$A13), """"), 0)), ""Y"", """"))"),"")</f>
        <v/>
      </c>
      <c r="BA13" s="92" t="str">
        <f>IFERROR(__xludf.DUMMYFUNCTION("IF(OR($A13="""", BA$5=""""), """", IF(ISNUMBER(MATCH(BA$5, IFERROR(FILTER('MASTER LIST'!$N$2:$AB$294, 'MASTER LIST'!$A$2:$A$294=$A13), """"), 0)), ""Y"", """"))"),"")</f>
        <v/>
      </c>
      <c r="BB13" s="92" t="str">
        <f>IFERROR(__xludf.DUMMYFUNCTION("IF(OR($A13="""", BB$5=""""), """", IF(ISNUMBER(MATCH(BB$5, IFERROR(FILTER('MASTER LIST'!$N$2:$AB$294, 'MASTER LIST'!$A$2:$A$294=$A13), """"), 0)), ""Y"", """"))"),"")</f>
        <v/>
      </c>
      <c r="BC13" s="92" t="str">
        <f>IFERROR(__xludf.DUMMYFUNCTION("IF(OR($A13="""", BC$5=""""), """", IF(ISNUMBER(MATCH(BC$5, IFERROR(FILTER('MASTER LIST'!$N$2:$AB$294, 'MASTER LIST'!$A$2:$A$294=$A13), """"), 0)), ""Y"", """"))"),"")</f>
        <v/>
      </c>
      <c r="BD13" s="92" t="str">
        <f>IFERROR(__xludf.DUMMYFUNCTION("IF(OR($A13="""", BD$5=""""), """", IF(ISNUMBER(MATCH(BD$5, IFERROR(FILTER('MASTER LIST'!$N$2:$AB$294, 'MASTER LIST'!$A$2:$A$294=$A13), """"), 0)), ""Y"", """"))"),"")</f>
        <v/>
      </c>
      <c r="BE13" s="92" t="str">
        <f>IFERROR(__xludf.DUMMYFUNCTION("IF(OR($A13="""", BE$5=""""), """", IF(ISNUMBER(MATCH(BE$5, IFERROR(FILTER('MASTER LIST'!$N$2:$AB$294, 'MASTER LIST'!$A$2:$A$294=$A13), """"), 0)), ""Y"", """"))"),"")</f>
        <v/>
      </c>
      <c r="BF13" s="92" t="str">
        <f>IFERROR(__xludf.DUMMYFUNCTION("IF(OR($A13="""", BF$5=""""), """", IF(ISNUMBER(MATCH(BF$5, IFERROR(FILTER('MASTER LIST'!$N$2:$AB$294, 'MASTER LIST'!$A$2:$A$294=$A13), """"), 0)), ""Y"", """"))"),"")</f>
        <v/>
      </c>
      <c r="BG13" s="92" t="str">
        <f>IFERROR(__xludf.DUMMYFUNCTION("IF(OR($A13="""", BG$5=""""), """", IF(ISNUMBER(MATCH(BG$5, IFERROR(FILTER('MASTER LIST'!$N$2:$AB$294, 'MASTER LIST'!$A$2:$A$294=$A13), """"), 0)), ""Y"", """"))"),"")</f>
        <v/>
      </c>
      <c r="BH13" s="92" t="str">
        <f>IFERROR(__xludf.DUMMYFUNCTION("IF(OR($A13="""", BH$5=""""), """", IF(ISNUMBER(MATCH(BH$5, IFERROR(FILTER('MASTER LIST'!$N$2:$AB$294, 'MASTER LIST'!$A$2:$A$294=$A13), """"), 0)), ""Y"", """"))"),"")</f>
        <v/>
      </c>
      <c r="BI13" s="92" t="str">
        <f>IFERROR(__xludf.DUMMYFUNCTION("IF(OR($A13="""", BI$5=""""), """", IF(ISNUMBER(MATCH(BI$5, IFERROR(FILTER('MASTER LIST'!$N$2:$AB$294, 'MASTER LIST'!$A$2:$A$294=$A13), """"), 0)), ""Y"", """"))"),"")</f>
        <v/>
      </c>
      <c r="BJ13" s="92" t="str">
        <f>IFERROR(__xludf.DUMMYFUNCTION("IF(OR($A13="""", BJ$5=""""), """", IF(ISNUMBER(MATCH(BJ$5, IFERROR(FILTER('MASTER LIST'!$N$2:$AB$294, 'MASTER LIST'!$A$2:$A$294=$A13), """"), 0)), ""Y"", """"))"),"")</f>
        <v/>
      </c>
      <c r="BK13" s="92" t="str">
        <f>IFERROR(__xludf.DUMMYFUNCTION("IF(OR($A13="""", BK$5=""""), """", IF(ISNUMBER(MATCH(BK$5, IFERROR(FILTER('MASTER LIST'!$N$2:$AB$294, 'MASTER LIST'!$A$2:$A$294=$A13), """"), 0)), ""Y"", """"))"),"")</f>
        <v/>
      </c>
      <c r="BL13" s="92" t="str">
        <f>IFERROR(__xludf.DUMMYFUNCTION("IF(OR($A13="""", BL$5=""""), """", IF(ISNUMBER(MATCH(BL$5, IFERROR(FILTER('MASTER LIST'!$N$2:$AB$294, 'MASTER LIST'!$A$2:$A$294=$A13), """"), 0)), ""Y"", """"))"),"")</f>
        <v/>
      </c>
      <c r="BM13" s="92" t="str">
        <f>IFERROR(__xludf.DUMMYFUNCTION("IF(OR($A13="""", BM$5=""""), """", IF(ISNUMBER(MATCH(BM$5, IFERROR(FILTER('MASTER LIST'!$N$2:$AB$294, 'MASTER LIST'!$A$2:$A$294=$A13), """"), 0)), ""Y"", """"))"),"")</f>
        <v/>
      </c>
      <c r="BN13" s="92" t="str">
        <f>IFERROR(__xludf.DUMMYFUNCTION("IF(OR($A13="""", BN$5=""""), """", IF(ISNUMBER(MATCH(BN$5, IFERROR(FILTER('MASTER LIST'!$N$2:$AB$294, 'MASTER LIST'!$A$2:$A$294=$A13), """"), 0)), ""Y"", """"))"),"")</f>
        <v/>
      </c>
      <c r="BO13" s="92" t="str">
        <f>IFERROR(__xludf.DUMMYFUNCTION("IF(OR($A13="""", BO$5=""""), """", IF(ISNUMBER(MATCH(BO$5, IFERROR(FILTER('MASTER LIST'!$N$2:$AB$294, 'MASTER LIST'!$A$2:$A$294=$A13), """"), 0)), ""Y"", """"))"),"")</f>
        <v/>
      </c>
      <c r="BP13" s="92" t="str">
        <f>IFERROR(__xludf.DUMMYFUNCTION("IF(OR($A13="""", BP$5=""""), """", IF(ISNUMBER(MATCH(BP$5, IFERROR(FILTER('MASTER LIST'!$N$2:$AB$294, 'MASTER LIST'!$A$2:$A$294=$A13), """"), 0)), ""Y"", """"))"),"")</f>
        <v/>
      </c>
      <c r="BQ13" s="92" t="str">
        <f>IFERROR(__xludf.DUMMYFUNCTION("IF(OR($A13="""", BQ$5=""""), """", IF(ISNUMBER(MATCH(BQ$5, IFERROR(FILTER('MASTER LIST'!$N$2:$AB$294, 'MASTER LIST'!$A$2:$A$294=$A13), """"), 0)), ""Y"", """"))"),"")</f>
        <v/>
      </c>
      <c r="BR13" s="92" t="str">
        <f>IFERROR(__xludf.DUMMYFUNCTION("IF(OR($A13="""", BR$5=""""), """", IF(ISNUMBER(MATCH(BR$5, IFERROR(FILTER('MASTER LIST'!$N$2:$AB$294, 'MASTER LIST'!$A$2:$A$294=$A13), """"), 0)), ""Y"", """"))"),"")</f>
        <v/>
      </c>
      <c r="BS13" s="92" t="str">
        <f>IFERROR(__xludf.DUMMYFUNCTION("IF(OR($A13="""", BS$5=""""), """", IF(ISNUMBER(MATCH(BS$5, IFERROR(FILTER('MASTER LIST'!$N$2:$AB$294, 'MASTER LIST'!$A$2:$A$294=$A13), """"), 0)), ""Y"", """"))"),"")</f>
        <v/>
      </c>
      <c r="BT13" s="92" t="str">
        <f>IFERROR(__xludf.DUMMYFUNCTION("IF(OR($A13="""", BT$5=""""), """", IF(ISNUMBER(MATCH(BT$5, IFERROR(FILTER('MASTER LIST'!$N$2:$AB$294, 'MASTER LIST'!$A$2:$A$294=$A13), """"), 0)), ""Y"", """"))"),"")</f>
        <v/>
      </c>
      <c r="BU13" s="92" t="str">
        <f>IFERROR(__xludf.DUMMYFUNCTION("IF(OR($A13="""", BU$5=""""), """", IF(ISNUMBER(MATCH(BU$5, IFERROR(FILTER('MASTER LIST'!$N$2:$AB$294, 'MASTER LIST'!$A$2:$A$294=$A13), """"), 0)), ""Y"", """"))"),"")</f>
        <v/>
      </c>
      <c r="BV13" s="92" t="str">
        <f>IFERROR(__xludf.DUMMYFUNCTION("IF(OR($A13="""", BV$5=""""), """", IF(ISNUMBER(MATCH(BV$5, IFERROR(FILTER('MASTER LIST'!$N$2:$AB$294, 'MASTER LIST'!$A$2:$A$294=$A13), """"), 0)), ""Y"", """"))"),"")</f>
        <v/>
      </c>
      <c r="BW13" s="92" t="str">
        <f>IFERROR(__xludf.DUMMYFUNCTION("IF(OR($A13="""", BW$5=""""), """", IF(ISNUMBER(MATCH(BW$5, IFERROR(FILTER('MASTER LIST'!$N$2:$AB$294, 'MASTER LIST'!$A$2:$A$294=$A13), """"), 0)), ""Y"", """"))"),"")</f>
        <v/>
      </c>
      <c r="BX13" s="92" t="str">
        <f>IFERROR(__xludf.DUMMYFUNCTION("IF(OR($A13="""", BX$5=""""), """", IF(ISNUMBER(MATCH(BX$5, IFERROR(FILTER('MASTER LIST'!$N$2:$AB$294, 'MASTER LIST'!$A$2:$A$294=$A13), """"), 0)), ""Y"", """"))"),"")</f>
        <v/>
      </c>
      <c r="BY13" s="92" t="str">
        <f>IFERROR(__xludf.DUMMYFUNCTION("IF(OR($A13="""", BY$5=""""), """", IF(ISNUMBER(MATCH(BY$5, IFERROR(FILTER('MASTER LIST'!$N$2:$AB$294, 'MASTER LIST'!$A$2:$A$294=$A13), """"), 0)), ""Y"", """"))"),"")</f>
        <v/>
      </c>
      <c r="BZ13" s="92" t="str">
        <f>IFERROR(__xludf.DUMMYFUNCTION("IF(OR($A13="""", BZ$5=""""), """", IF(ISNUMBER(MATCH(BZ$5, IFERROR(FILTER('MASTER LIST'!$N$2:$AB$294, 'MASTER LIST'!$A$2:$A$294=$A13), """"), 0)), ""Y"", """"))"),"")</f>
        <v/>
      </c>
      <c r="CA13" s="92" t="str">
        <f>IFERROR(__xludf.DUMMYFUNCTION("IF(OR($A13="""", CA$5=""""), """", IF(ISNUMBER(MATCH(CA$5, IFERROR(FILTER('MASTER LIST'!$N$2:$AB$294, 'MASTER LIST'!$A$2:$A$294=$A13), """"), 0)), ""Y"", """"))"),"")</f>
        <v/>
      </c>
      <c r="CB13" s="92" t="str">
        <f>IFERROR(__xludf.DUMMYFUNCTION("IF(OR($A13="""", CB$5=""""), """", IF(ISNUMBER(MATCH(CB$5, IFERROR(FILTER('MASTER LIST'!$N$2:$AB$294, 'MASTER LIST'!$A$2:$A$294=$A13), """"), 0)), ""Y"", """"))"),"")</f>
        <v/>
      </c>
      <c r="CC13" s="92"/>
      <c r="CD13" s="92"/>
      <c r="CE13" s="92"/>
      <c r="CF13" s="92"/>
      <c r="CG13" s="92"/>
      <c r="CH13" s="92"/>
      <c r="CI13" s="92"/>
      <c r="CJ13" s="92"/>
      <c r="CK13" s="92"/>
    </row>
    <row r="14">
      <c r="A14" s="75">
        <f>IFERROR(__xludf.DUMMYFUNCTION("""COMPUTED_VALUE"""),283.0)</f>
        <v>283</v>
      </c>
      <c r="B14" s="75" t="str">
        <f>IFERROR(__xludf.DUMMYFUNCTION("""COMPUTED_VALUE"""),"MUHAMMED SAJAD P.K")</f>
        <v>MUHAMMED SAJAD P.K</v>
      </c>
      <c r="C14" s="75">
        <f>IFERROR(__xludf.DUMMYFUNCTION("""COMPUTED_VALUE"""),5.0)</f>
        <v>5</v>
      </c>
      <c r="D14" s="75" t="str">
        <f>IFERROR(__xludf.DUMMYFUNCTION("""COMPUTED_VALUE"""),"THĀNIYAH")</f>
        <v>THĀNIYAH</v>
      </c>
      <c r="E14" s="75" t="str">
        <f>IFERROR(__xludf.DUMMYFUNCTION("""COMPUTED_VALUE"""),"TEAM C")</f>
        <v>TEAM C</v>
      </c>
      <c r="F14" s="75" t="str">
        <f>IFERROR(__xludf.DUMMYFUNCTION("""COMPUTED_VALUE"""),"Min 1 Required (Stage &amp; Non-Stage)")</f>
        <v>Min 1 Required (Stage &amp; Non-Stage)</v>
      </c>
      <c r="G14" s="92" t="str">
        <f>IFERROR(__xludf.DUMMYFUNCTION("IF(OR($A14="""", G$5=""""), """", IF(ISNUMBER(MATCH(G$5, IFERROR(FILTER('MASTER LIST'!$N$2:$W$294, 'MASTER LIST'!$A$2:$A$294=$A14), """"), 0)), ""Y"", """"))"),"")</f>
        <v/>
      </c>
      <c r="H14" s="92" t="str">
        <f>IFERROR(__xludf.DUMMYFUNCTION("IF(OR($A14="""", H$5=""""), """", IF(ISNUMBER(MATCH(H$5, IFERROR(FILTER('MASTER LIST'!$N$2:$W$294, 'MASTER LIST'!$A$2:$A$294=$A14), """"), 0)), ""Y"", """"))"),"")</f>
        <v/>
      </c>
      <c r="I14" s="92" t="str">
        <f>IFERROR(__xludf.DUMMYFUNCTION("IF(OR($A14="""", I$5=""""), """", IF(ISNUMBER(MATCH(I$5, IFERROR(FILTER('MASTER LIST'!$N$2:$W$294, 'MASTER LIST'!$A$2:$A$294=$A14), """"), 0)), ""Y"", """"))"),"")</f>
        <v/>
      </c>
      <c r="J14" s="92" t="str">
        <f>IFERROR(__xludf.DUMMYFUNCTION("IF(OR($A14="""", J$5=""""), """", IF(ISNUMBER(MATCH(J$5, IFERROR(FILTER('MASTER LIST'!$N$2:$W$294, 'MASTER LIST'!$A$2:$A$294=$A14), """"), 0)), ""Y"", """"))"),"")</f>
        <v/>
      </c>
      <c r="K14" s="92" t="str">
        <f>IFERROR(__xludf.DUMMYFUNCTION("IF(OR($A14="""", K$5=""""), """", IF(ISNUMBER(MATCH(K$5, IFERROR(FILTER('MASTER LIST'!$N$2:$W$294, 'MASTER LIST'!$A$2:$A$294=$A14), """"), 0)), ""Y"", """"))"),"")</f>
        <v/>
      </c>
      <c r="L14" s="92" t="str">
        <f>IFERROR(__xludf.DUMMYFUNCTION("IF(OR($A14="""", L$5=""""), """", IF(ISNUMBER(MATCH(L$5, IFERROR(FILTER('MASTER LIST'!$N$2:$W$294, 'MASTER LIST'!$A$2:$A$294=$A14), """"), 0)), ""Y"", """"))"),"")</f>
        <v/>
      </c>
      <c r="M14" s="92" t="str">
        <f>IFERROR(__xludf.DUMMYFUNCTION("IF(OR($A14="""", M$5=""""), """", IF(ISNUMBER(MATCH(M$5, IFERROR(FILTER('MASTER LIST'!$N$2:$W$294, 'MASTER LIST'!$A$2:$A$294=$A14), """"), 0)), ""Y"", """"))"),"")</f>
        <v/>
      </c>
      <c r="N14" s="92" t="str">
        <f>IFERROR(__xludf.DUMMYFUNCTION("IF(OR($A14="""", N$5=""""), """", IF(ISNUMBER(MATCH(N$5, IFERROR(FILTER('MASTER LIST'!$N$2:$W$294, 'MASTER LIST'!$A$2:$A$294=$A14), """"), 0)), ""Y"", """"))"),"")</f>
        <v/>
      </c>
      <c r="O14" s="92" t="str">
        <f>IFERROR(__xludf.DUMMYFUNCTION("IF(OR($A14="""", O$5=""""), """", IF(ISNUMBER(MATCH(O$5, IFERROR(FILTER('MASTER LIST'!$N$2:$W$294, 'MASTER LIST'!$A$2:$A$294=$A14), """"), 0)), ""Y"", """"))"),"")</f>
        <v/>
      </c>
      <c r="P14" s="92" t="str">
        <f>IFERROR(__xludf.DUMMYFUNCTION("IF(OR($A14="""", P$5=""""), """", IF(ISNUMBER(MATCH(P$5, IFERROR(FILTER('MASTER LIST'!$N$2:$W$294, 'MASTER LIST'!$A$2:$A$294=$A14), """"), 0)), ""Y"", """"))"),"")</f>
        <v/>
      </c>
      <c r="Q14" s="92" t="str">
        <f>IFERROR(__xludf.DUMMYFUNCTION("IF(OR($A14="""", Q$5=""""), """", IF(ISNUMBER(MATCH(Q$5, IFERROR(FILTER('MASTER LIST'!$N$2:$AB$294, 'MASTER LIST'!$A$2:$A$294=$A14), """"), 0)), ""Y"", """"))"),"")</f>
        <v/>
      </c>
      <c r="R14" s="92" t="str">
        <f>IFERROR(__xludf.DUMMYFUNCTION("IF(OR($A14="""", R$5=""""), """", IF(ISNUMBER(MATCH(R$5, IFERROR(FILTER('MASTER LIST'!$N$2:$AB$294, 'MASTER LIST'!$A$2:$A$294=$A14), """"), 0)), ""Y"", """"))"),"")</f>
        <v/>
      </c>
      <c r="S14" s="92" t="str">
        <f>IFERROR(__xludf.DUMMYFUNCTION("IF(OR($A14="""", S$5=""""), """", IF(ISNUMBER(MATCH(S$5, IFERROR(FILTER('MASTER LIST'!$N$2:$AB$294, 'MASTER LIST'!$A$2:$A$294=$A14), """"), 0)), ""Y"", """"))"),"")</f>
        <v/>
      </c>
      <c r="T14" s="92" t="str">
        <f>IFERROR(__xludf.DUMMYFUNCTION("IF(OR($A14="""", T$5=""""), """", IF(ISNUMBER(MATCH(T$5, IFERROR(FILTER('MASTER LIST'!$N$2:$AB$294, 'MASTER LIST'!$A$2:$A$294=$A14), """"), 0)), ""Y"", """"))"),"")</f>
        <v/>
      </c>
      <c r="U14" s="92" t="str">
        <f>IFERROR(__xludf.DUMMYFUNCTION("IF(OR($A14="""", U$5=""""), """", IF(ISNUMBER(MATCH(U$5, IFERROR(FILTER('MASTER LIST'!$N$2:$AB$294, 'MASTER LIST'!$A$2:$A$294=$A14), """"), 0)), ""Y"", """"))"),"")</f>
        <v/>
      </c>
      <c r="V14" s="92" t="str">
        <f>IFERROR(__xludf.DUMMYFUNCTION("IF(OR($A14="""", V$5=""""), """", IF(ISNUMBER(MATCH(V$5, IFERROR(FILTER('MASTER LIST'!$N$2:$AB$294, 'MASTER LIST'!$A$2:$A$294=$A14), """"), 0)), ""Y"", """"))"),"")</f>
        <v/>
      </c>
      <c r="W14" s="92" t="str">
        <f>IFERROR(__xludf.DUMMYFUNCTION("IF(OR($A14="""", W$5=""""), """", IF(ISNUMBER(MATCH(W$5, IFERROR(FILTER('MASTER LIST'!$N$2:$AB$294, 'MASTER LIST'!$A$2:$A$294=$A14), """"), 0)), ""Y"", """"))"),"")</f>
        <v/>
      </c>
      <c r="X14" s="92" t="str">
        <f>IFERROR(__xludf.DUMMYFUNCTION("IF(OR($A14="""", X$5=""""), """", IF(ISNUMBER(MATCH(X$5, IFERROR(FILTER('MASTER LIST'!$N$2:$AB$294, 'MASTER LIST'!$A$2:$A$294=$A14), """"), 0)), ""Y"", """"))"),"")</f>
        <v/>
      </c>
      <c r="Y14" s="92" t="str">
        <f>IFERROR(__xludf.DUMMYFUNCTION("IF(OR($A14="""", Y$5=""""), """", IF(ISNUMBER(MATCH(Y$5, IFERROR(FILTER('MASTER LIST'!$N$2:$AB$294, 'MASTER LIST'!$A$2:$A$294=$A14), """"), 0)), ""Y"", """"))"),"")</f>
        <v/>
      </c>
      <c r="Z14" s="92" t="str">
        <f>IFERROR(__xludf.DUMMYFUNCTION("IF(OR($A14="""", Z$5=""""), """", IF(ISNUMBER(MATCH(Z$5, IFERROR(FILTER('MASTER LIST'!$N$2:$AB$294, 'MASTER LIST'!$A$2:$A$294=$A14), """"), 0)), ""Y"", """"))"),"")</f>
        <v/>
      </c>
      <c r="AA14" s="92" t="str">
        <f>IFERROR(__xludf.DUMMYFUNCTION("IF(OR($A14="""", AA$5=""""), """", IF(ISNUMBER(MATCH(AA$5, IFERROR(FILTER('MASTER LIST'!$N$2:$AB$294, 'MASTER LIST'!$A$2:$A$294=$A14), """"), 0)), ""Y"", """"))"),"")</f>
        <v/>
      </c>
      <c r="AB14" s="92" t="str">
        <f>IFERROR(__xludf.DUMMYFUNCTION("IF(OR($A14="""", AB$5=""""), """", IF(ISNUMBER(MATCH(AB$5, IFERROR(FILTER('MASTER LIST'!$N$2:$AB$294, 'MASTER LIST'!$A$2:$A$294=$A14), """"), 0)), ""Y"", """"))"),"")</f>
        <v/>
      </c>
      <c r="AC14" s="92" t="str">
        <f>IFERROR(__xludf.DUMMYFUNCTION("IF(OR($A14="""", AC$5=""""), """", IF(ISNUMBER(MATCH(AC$5, IFERROR(FILTER('MASTER LIST'!$N$2:$AB$294, 'MASTER LIST'!$A$2:$A$294=$A14), """"), 0)), ""Y"", """"))"),"")</f>
        <v/>
      </c>
      <c r="AD14" s="92" t="str">
        <f>IFERROR(__xludf.DUMMYFUNCTION("IF(OR($A14="""", AD$5=""""), """", IF(ISNUMBER(MATCH(AD$5, IFERROR(FILTER('MASTER LIST'!$N$2:$AB$294, 'MASTER LIST'!$A$2:$A$294=$A14), """"), 0)), ""Y"", """"))"),"")</f>
        <v/>
      </c>
      <c r="AE14" s="92" t="str">
        <f>IFERROR(__xludf.DUMMYFUNCTION("IF(OR($A14="""", AE$5=""""), """", IF(ISNUMBER(MATCH(AE$5, IFERROR(FILTER('MASTER LIST'!$N$2:$AB$294, 'MASTER LIST'!$A$2:$A$294=$A14), """"), 0)), ""Y"", """"))"),"")</f>
        <v/>
      </c>
      <c r="AF14" s="92" t="str">
        <f>IFERROR(__xludf.DUMMYFUNCTION("IF(OR($A14="""", AF$5=""""), """", IF(ISNUMBER(MATCH(AF$5, IFERROR(FILTER('MASTER LIST'!$N$2:$AB$294, 'MASTER LIST'!$A$2:$A$294=$A14), """"), 0)), ""Y"", """"))"),"")</f>
        <v/>
      </c>
      <c r="AG14" s="92" t="str">
        <f>IFERROR(__xludf.DUMMYFUNCTION("IF(OR($A14="""", AG$5=""""), """", IF(ISNUMBER(MATCH(AG$5, IFERROR(FILTER('MASTER LIST'!$N$2:$AB$294, 'MASTER LIST'!$A$2:$A$294=$A14), """"), 0)), ""Y"", """"))"),"")</f>
        <v/>
      </c>
      <c r="AH14" s="92" t="str">
        <f>IFERROR(__xludf.DUMMYFUNCTION("IF(OR($A14="""", AH$5=""""), """", IF(ISNUMBER(MATCH(AH$5, IFERROR(FILTER('MASTER LIST'!$N$2:$AB$294, 'MASTER LIST'!$A$2:$A$294=$A14), """"), 0)), ""Y"", """"))"),"")</f>
        <v/>
      </c>
      <c r="AI14" s="92" t="str">
        <f>IFERROR(__xludf.DUMMYFUNCTION("IF(OR($A14="""", AI$5=""""), """", IF(ISNUMBER(MATCH(AI$5, IFERROR(FILTER('MASTER LIST'!$N$2:$AB$294, 'MASTER LIST'!$A$2:$A$294=$A14), """"), 0)), ""Y"", """"))"),"")</f>
        <v/>
      </c>
      <c r="AJ14" s="92" t="str">
        <f>IFERROR(__xludf.DUMMYFUNCTION("IF(OR($A14="""", AJ$5=""""), """", IF(ISNUMBER(MATCH(AJ$5, IFERROR(FILTER('MASTER LIST'!$N$2:$AB$294, 'MASTER LIST'!$A$2:$A$294=$A14), """"), 0)), ""Y"", """"))"),"")</f>
        <v/>
      </c>
      <c r="AK14" s="92" t="str">
        <f>IFERROR(__xludf.DUMMYFUNCTION("IF(OR($A14="""", AK$5=""""), """", IF(ISNUMBER(MATCH(AK$5, IFERROR(FILTER('MASTER LIST'!$N$2:$AB$294, 'MASTER LIST'!$A$2:$A$294=$A14), """"), 0)), ""Y"", """"))"),"")</f>
        <v/>
      </c>
      <c r="AL14" s="92" t="str">
        <f>IFERROR(__xludf.DUMMYFUNCTION("IF(OR($A14="""", AL$5=""""), """", IF(ISNUMBER(MATCH(AL$5, IFERROR(FILTER('MASTER LIST'!$N$2:$AB$294, 'MASTER LIST'!$A$2:$A$294=$A14), """"), 0)), ""Y"", """"))"),"")</f>
        <v/>
      </c>
      <c r="AM14" s="92" t="str">
        <f>IFERROR(__xludf.DUMMYFUNCTION("IF(OR($A14="""", AM$5=""""), """", IF(ISNUMBER(MATCH(AM$5, IFERROR(FILTER('MASTER LIST'!$N$2:$AB$294, 'MASTER LIST'!$A$2:$A$294=$A14), """"), 0)), ""Y"", """"))"),"")</f>
        <v/>
      </c>
      <c r="AN14" s="92" t="str">
        <f>IFERROR(__xludf.DUMMYFUNCTION("IF(OR($A14="""", AN$5=""""), """", IF(ISNUMBER(MATCH(AN$5, IFERROR(FILTER('MASTER LIST'!$N$2:$AB$294, 'MASTER LIST'!$A$2:$A$294=$A14), """"), 0)), ""Y"", """"))"),"")</f>
        <v/>
      </c>
      <c r="AO14" s="92" t="str">
        <f>IFERROR(__xludf.DUMMYFUNCTION("IF(OR($A14="""", AO$5=""""), """", IF(ISNUMBER(MATCH(AO$5, IFERROR(FILTER('MASTER LIST'!$N$2:$AB$294, 'MASTER LIST'!$A$2:$A$294=$A14), """"), 0)), ""Y"", """"))"),"")</f>
        <v/>
      </c>
      <c r="AP14" s="92" t="str">
        <f>IFERROR(__xludf.DUMMYFUNCTION("IF(OR($A14="""", AP$5=""""), """", IF(ISNUMBER(MATCH(AP$5, IFERROR(FILTER('MASTER LIST'!$N$2:$AB$294, 'MASTER LIST'!$A$2:$A$294=$A14), """"), 0)), ""Y"", """"))"),"")</f>
        <v/>
      </c>
      <c r="AQ14" s="92" t="str">
        <f>IFERROR(__xludf.DUMMYFUNCTION("IF(OR($A14="""", AQ$5=""""), """", IF(ISNUMBER(MATCH(AQ$5, IFERROR(FILTER('MASTER LIST'!$N$2:$AB$294, 'MASTER LIST'!$A$2:$A$294=$A14), """"), 0)), ""Y"", """"))"),"")</f>
        <v/>
      </c>
      <c r="AR14" s="92" t="str">
        <f>IFERROR(__xludf.DUMMYFUNCTION("IF(OR($A14="""", AR$5=""""), """", IF(ISNUMBER(MATCH(AR$5, IFERROR(FILTER('MASTER LIST'!$N$2:$AB$294, 'MASTER LIST'!$A$2:$A$294=$A14), """"), 0)), ""Y"", """"))"),"")</f>
        <v/>
      </c>
      <c r="AS14" s="92" t="str">
        <f>IFERROR(__xludf.DUMMYFUNCTION("IF(OR($A14="""", AS$5=""""), """", IF(ISNUMBER(MATCH(AS$5, IFERROR(FILTER('MASTER LIST'!$N$2:$AB$294, 'MASTER LIST'!$A$2:$A$294=$A14), """"), 0)), ""Y"", """"))"),"")</f>
        <v/>
      </c>
      <c r="AT14" s="92" t="str">
        <f>IFERROR(__xludf.DUMMYFUNCTION("IF(OR($A14="""", AT$5=""""), """", IF(ISNUMBER(MATCH(AT$5, IFERROR(FILTER('MASTER LIST'!$N$2:$AB$294, 'MASTER LIST'!$A$2:$A$294=$A14), """"), 0)), ""Y"", """"))"),"")</f>
        <v/>
      </c>
      <c r="AU14" s="92" t="str">
        <f>IFERROR(__xludf.DUMMYFUNCTION("IF(OR($A14="""", AU$5=""""), """", IF(ISNUMBER(MATCH(AU$5, IFERROR(FILTER('MASTER LIST'!$N$2:$AB$294, 'MASTER LIST'!$A$2:$A$294=$A14), """"), 0)), ""Y"", """"))"),"")</f>
        <v/>
      </c>
      <c r="AV14" s="92" t="str">
        <f>IFERROR(__xludf.DUMMYFUNCTION("IF(OR($A14="""", AV$5=""""), """", IF(ISNUMBER(MATCH(AV$5, IFERROR(FILTER('MASTER LIST'!$N$2:$AB$294, 'MASTER LIST'!$A$2:$A$294=$A14), """"), 0)), ""Y"", """"))"),"")</f>
        <v/>
      </c>
      <c r="AW14" s="92" t="str">
        <f>IFERROR(__xludf.DUMMYFUNCTION("IF(OR($A14="""", AW$5=""""), """", IF(ISNUMBER(MATCH(AW$5, IFERROR(FILTER('MASTER LIST'!$N$2:$AB$294, 'MASTER LIST'!$A$2:$A$294=$A14), """"), 0)), ""Y"", """"))"),"")</f>
        <v/>
      </c>
      <c r="AX14" s="92" t="str">
        <f>IFERROR(__xludf.DUMMYFUNCTION("IF(OR($A14="""", AX$5=""""), """", IF(ISNUMBER(MATCH(AX$5, IFERROR(FILTER('MASTER LIST'!$N$2:$AB$294, 'MASTER LIST'!$A$2:$A$294=$A14), """"), 0)), ""Y"", """"))"),"")</f>
        <v/>
      </c>
      <c r="AY14" s="92" t="str">
        <f>IFERROR(__xludf.DUMMYFUNCTION("IF(OR($A14="""", AY$5=""""), """", IF(ISNUMBER(MATCH(AY$5, IFERROR(FILTER('MASTER LIST'!$N$2:$AB$294, 'MASTER LIST'!$A$2:$A$294=$A14), """"), 0)), ""Y"", """"))"),"")</f>
        <v/>
      </c>
      <c r="AZ14" s="92" t="str">
        <f>IFERROR(__xludf.DUMMYFUNCTION("IF(OR($A14="""", AZ$5=""""), """", IF(ISNUMBER(MATCH(AZ$5, IFERROR(FILTER('MASTER LIST'!$N$2:$AB$294, 'MASTER LIST'!$A$2:$A$294=$A14), """"), 0)), ""Y"", """"))"),"")</f>
        <v/>
      </c>
      <c r="BA14" s="92" t="str">
        <f>IFERROR(__xludf.DUMMYFUNCTION("IF(OR($A14="""", BA$5=""""), """", IF(ISNUMBER(MATCH(BA$5, IFERROR(FILTER('MASTER LIST'!$N$2:$AB$294, 'MASTER LIST'!$A$2:$A$294=$A14), """"), 0)), ""Y"", """"))"),"")</f>
        <v/>
      </c>
      <c r="BB14" s="92" t="str">
        <f>IFERROR(__xludf.DUMMYFUNCTION("IF(OR($A14="""", BB$5=""""), """", IF(ISNUMBER(MATCH(BB$5, IFERROR(FILTER('MASTER LIST'!$N$2:$AB$294, 'MASTER LIST'!$A$2:$A$294=$A14), """"), 0)), ""Y"", """"))"),"")</f>
        <v/>
      </c>
      <c r="BC14" s="92" t="str">
        <f>IFERROR(__xludf.DUMMYFUNCTION("IF(OR($A14="""", BC$5=""""), """", IF(ISNUMBER(MATCH(BC$5, IFERROR(FILTER('MASTER LIST'!$N$2:$AB$294, 'MASTER LIST'!$A$2:$A$294=$A14), """"), 0)), ""Y"", """"))"),"")</f>
        <v/>
      </c>
      <c r="BD14" s="92" t="str">
        <f>IFERROR(__xludf.DUMMYFUNCTION("IF(OR($A14="""", BD$5=""""), """", IF(ISNUMBER(MATCH(BD$5, IFERROR(FILTER('MASTER LIST'!$N$2:$AB$294, 'MASTER LIST'!$A$2:$A$294=$A14), """"), 0)), ""Y"", """"))"),"")</f>
        <v/>
      </c>
      <c r="BE14" s="92" t="str">
        <f>IFERROR(__xludf.DUMMYFUNCTION("IF(OR($A14="""", BE$5=""""), """", IF(ISNUMBER(MATCH(BE$5, IFERROR(FILTER('MASTER LIST'!$N$2:$AB$294, 'MASTER LIST'!$A$2:$A$294=$A14), """"), 0)), ""Y"", """"))"),"")</f>
        <v/>
      </c>
      <c r="BF14" s="92" t="str">
        <f>IFERROR(__xludf.DUMMYFUNCTION("IF(OR($A14="""", BF$5=""""), """", IF(ISNUMBER(MATCH(BF$5, IFERROR(FILTER('MASTER LIST'!$N$2:$AB$294, 'MASTER LIST'!$A$2:$A$294=$A14), """"), 0)), ""Y"", """"))"),"")</f>
        <v/>
      </c>
      <c r="BG14" s="92" t="str">
        <f>IFERROR(__xludf.DUMMYFUNCTION("IF(OR($A14="""", BG$5=""""), """", IF(ISNUMBER(MATCH(BG$5, IFERROR(FILTER('MASTER LIST'!$N$2:$AB$294, 'MASTER LIST'!$A$2:$A$294=$A14), """"), 0)), ""Y"", """"))"),"")</f>
        <v/>
      </c>
      <c r="BH14" s="92" t="str">
        <f>IFERROR(__xludf.DUMMYFUNCTION("IF(OR($A14="""", BH$5=""""), """", IF(ISNUMBER(MATCH(BH$5, IFERROR(FILTER('MASTER LIST'!$N$2:$AB$294, 'MASTER LIST'!$A$2:$A$294=$A14), """"), 0)), ""Y"", """"))"),"")</f>
        <v/>
      </c>
      <c r="BI14" s="92" t="str">
        <f>IFERROR(__xludf.DUMMYFUNCTION("IF(OR($A14="""", BI$5=""""), """", IF(ISNUMBER(MATCH(BI$5, IFERROR(FILTER('MASTER LIST'!$N$2:$AB$294, 'MASTER LIST'!$A$2:$A$294=$A14), """"), 0)), ""Y"", """"))"),"")</f>
        <v/>
      </c>
      <c r="BJ14" s="92" t="str">
        <f>IFERROR(__xludf.DUMMYFUNCTION("IF(OR($A14="""", BJ$5=""""), """", IF(ISNUMBER(MATCH(BJ$5, IFERROR(FILTER('MASTER LIST'!$N$2:$AB$294, 'MASTER LIST'!$A$2:$A$294=$A14), """"), 0)), ""Y"", """"))"),"")</f>
        <v/>
      </c>
      <c r="BK14" s="92" t="str">
        <f>IFERROR(__xludf.DUMMYFUNCTION("IF(OR($A14="""", BK$5=""""), """", IF(ISNUMBER(MATCH(BK$5, IFERROR(FILTER('MASTER LIST'!$N$2:$AB$294, 'MASTER LIST'!$A$2:$A$294=$A14), """"), 0)), ""Y"", """"))"),"")</f>
        <v/>
      </c>
      <c r="BL14" s="92" t="str">
        <f>IFERROR(__xludf.DUMMYFUNCTION("IF(OR($A14="""", BL$5=""""), """", IF(ISNUMBER(MATCH(BL$5, IFERROR(FILTER('MASTER LIST'!$N$2:$AB$294, 'MASTER LIST'!$A$2:$A$294=$A14), """"), 0)), ""Y"", """"))"),"")</f>
        <v/>
      </c>
      <c r="BM14" s="92" t="str">
        <f>IFERROR(__xludf.DUMMYFUNCTION("IF(OR($A14="""", BM$5=""""), """", IF(ISNUMBER(MATCH(BM$5, IFERROR(FILTER('MASTER LIST'!$N$2:$AB$294, 'MASTER LIST'!$A$2:$A$294=$A14), """"), 0)), ""Y"", """"))"),"")</f>
        <v/>
      </c>
      <c r="BN14" s="92" t="str">
        <f>IFERROR(__xludf.DUMMYFUNCTION("IF(OR($A14="""", BN$5=""""), """", IF(ISNUMBER(MATCH(BN$5, IFERROR(FILTER('MASTER LIST'!$N$2:$AB$294, 'MASTER LIST'!$A$2:$A$294=$A14), """"), 0)), ""Y"", """"))"),"")</f>
        <v/>
      </c>
      <c r="BO14" s="92" t="str">
        <f>IFERROR(__xludf.DUMMYFUNCTION("IF(OR($A14="""", BO$5=""""), """", IF(ISNUMBER(MATCH(BO$5, IFERROR(FILTER('MASTER LIST'!$N$2:$AB$294, 'MASTER LIST'!$A$2:$A$294=$A14), """"), 0)), ""Y"", """"))"),"")</f>
        <v/>
      </c>
      <c r="BP14" s="92" t="str">
        <f>IFERROR(__xludf.DUMMYFUNCTION("IF(OR($A14="""", BP$5=""""), """", IF(ISNUMBER(MATCH(BP$5, IFERROR(FILTER('MASTER LIST'!$N$2:$AB$294, 'MASTER LIST'!$A$2:$A$294=$A14), """"), 0)), ""Y"", """"))"),"")</f>
        <v/>
      </c>
      <c r="BQ14" s="92" t="str">
        <f>IFERROR(__xludf.DUMMYFUNCTION("IF(OR($A14="""", BQ$5=""""), """", IF(ISNUMBER(MATCH(BQ$5, IFERROR(FILTER('MASTER LIST'!$N$2:$AB$294, 'MASTER LIST'!$A$2:$A$294=$A14), """"), 0)), ""Y"", """"))"),"")</f>
        <v/>
      </c>
      <c r="BR14" s="92" t="str">
        <f>IFERROR(__xludf.DUMMYFUNCTION("IF(OR($A14="""", BR$5=""""), """", IF(ISNUMBER(MATCH(BR$5, IFERROR(FILTER('MASTER LIST'!$N$2:$AB$294, 'MASTER LIST'!$A$2:$A$294=$A14), """"), 0)), ""Y"", """"))"),"")</f>
        <v/>
      </c>
      <c r="BS14" s="92" t="str">
        <f>IFERROR(__xludf.DUMMYFUNCTION("IF(OR($A14="""", BS$5=""""), """", IF(ISNUMBER(MATCH(BS$5, IFERROR(FILTER('MASTER LIST'!$N$2:$AB$294, 'MASTER LIST'!$A$2:$A$294=$A14), """"), 0)), ""Y"", """"))"),"")</f>
        <v/>
      </c>
      <c r="BT14" s="92" t="str">
        <f>IFERROR(__xludf.DUMMYFUNCTION("IF(OR($A14="""", BT$5=""""), """", IF(ISNUMBER(MATCH(BT$5, IFERROR(FILTER('MASTER LIST'!$N$2:$AB$294, 'MASTER LIST'!$A$2:$A$294=$A14), """"), 0)), ""Y"", """"))"),"")</f>
        <v/>
      </c>
      <c r="BU14" s="92" t="str">
        <f>IFERROR(__xludf.DUMMYFUNCTION("IF(OR($A14="""", BU$5=""""), """", IF(ISNUMBER(MATCH(BU$5, IFERROR(FILTER('MASTER LIST'!$N$2:$AB$294, 'MASTER LIST'!$A$2:$A$294=$A14), """"), 0)), ""Y"", """"))"),"")</f>
        <v/>
      </c>
      <c r="BV14" s="92" t="str">
        <f>IFERROR(__xludf.DUMMYFUNCTION("IF(OR($A14="""", BV$5=""""), """", IF(ISNUMBER(MATCH(BV$5, IFERROR(FILTER('MASTER LIST'!$N$2:$AB$294, 'MASTER LIST'!$A$2:$A$294=$A14), """"), 0)), ""Y"", """"))"),"")</f>
        <v/>
      </c>
      <c r="BW14" s="92" t="str">
        <f>IFERROR(__xludf.DUMMYFUNCTION("IF(OR($A14="""", BW$5=""""), """", IF(ISNUMBER(MATCH(BW$5, IFERROR(FILTER('MASTER LIST'!$N$2:$AB$294, 'MASTER LIST'!$A$2:$A$294=$A14), """"), 0)), ""Y"", """"))"),"")</f>
        <v/>
      </c>
      <c r="BX14" s="92" t="str">
        <f>IFERROR(__xludf.DUMMYFUNCTION("IF(OR($A14="""", BX$5=""""), """", IF(ISNUMBER(MATCH(BX$5, IFERROR(FILTER('MASTER LIST'!$N$2:$AB$294, 'MASTER LIST'!$A$2:$A$294=$A14), """"), 0)), ""Y"", """"))"),"")</f>
        <v/>
      </c>
      <c r="BY14" s="92" t="str">
        <f>IFERROR(__xludf.DUMMYFUNCTION("IF(OR($A14="""", BY$5=""""), """", IF(ISNUMBER(MATCH(BY$5, IFERROR(FILTER('MASTER LIST'!$N$2:$AB$294, 'MASTER LIST'!$A$2:$A$294=$A14), """"), 0)), ""Y"", """"))"),"")</f>
        <v/>
      </c>
      <c r="BZ14" s="92" t="str">
        <f>IFERROR(__xludf.DUMMYFUNCTION("IF(OR($A14="""", BZ$5=""""), """", IF(ISNUMBER(MATCH(BZ$5, IFERROR(FILTER('MASTER LIST'!$N$2:$AB$294, 'MASTER LIST'!$A$2:$A$294=$A14), """"), 0)), ""Y"", """"))"),"")</f>
        <v/>
      </c>
      <c r="CA14" s="92" t="str">
        <f>IFERROR(__xludf.DUMMYFUNCTION("IF(OR($A14="""", CA$5=""""), """", IF(ISNUMBER(MATCH(CA$5, IFERROR(FILTER('MASTER LIST'!$N$2:$AB$294, 'MASTER LIST'!$A$2:$A$294=$A14), """"), 0)), ""Y"", """"))"),"")</f>
        <v/>
      </c>
      <c r="CB14" s="92" t="str">
        <f>IFERROR(__xludf.DUMMYFUNCTION("IF(OR($A14="""", CB$5=""""), """", IF(ISNUMBER(MATCH(CB$5, IFERROR(FILTER('MASTER LIST'!$N$2:$AB$294, 'MASTER LIST'!$A$2:$A$294=$A14), """"), 0)), ""Y"", """"))"),"")</f>
        <v/>
      </c>
      <c r="CC14" s="92"/>
      <c r="CD14" s="92"/>
      <c r="CE14" s="92"/>
      <c r="CF14" s="92"/>
      <c r="CG14" s="92"/>
      <c r="CH14" s="92"/>
      <c r="CI14" s="92"/>
      <c r="CJ14" s="92"/>
      <c r="CK14" s="92"/>
    </row>
    <row r="15">
      <c r="A15" s="75">
        <f>IFERROR(__xludf.DUMMYFUNCTION("""COMPUTED_VALUE"""),341.0)</f>
        <v>341</v>
      </c>
      <c r="B15" s="75" t="str">
        <f>IFERROR(__xludf.DUMMYFUNCTION("""COMPUTED_VALUE"""),"MUHAMMED DHARVESH K")</f>
        <v>MUHAMMED DHARVESH K</v>
      </c>
      <c r="C15" s="75">
        <f>IFERROR(__xludf.DUMMYFUNCTION("""COMPUTED_VALUE"""),4.0)</f>
        <v>4</v>
      </c>
      <c r="D15" s="75" t="str">
        <f>IFERROR(__xludf.DUMMYFUNCTION("""COMPUTED_VALUE"""),"THĀNIYAH")</f>
        <v>THĀNIYAH</v>
      </c>
      <c r="E15" s="75" t="str">
        <f>IFERROR(__xludf.DUMMYFUNCTION("""COMPUTED_VALUE"""),"TEAM C")</f>
        <v>TEAM C</v>
      </c>
      <c r="F15" s="75" t="str">
        <f>IFERROR(__xludf.DUMMYFUNCTION("""COMPUTED_VALUE"""),"Min 1 Required (Stage &amp; Non-Stage)")</f>
        <v>Min 1 Required (Stage &amp; Non-Stage)</v>
      </c>
      <c r="G15" s="91" t="str">
        <f>IFERROR(__xludf.DUMMYFUNCTION("IF(OR($A15="""", G$5=""""), """", IF(ISNUMBER(MATCH(G$5, IFERROR(FILTER('MASTER LIST'!$N$2:$W$294, 'MASTER LIST'!$A$2:$A$294=$A15), """"), 0)), ""Y"", """"))"),"")</f>
        <v/>
      </c>
      <c r="H15" s="92" t="str">
        <f>IFERROR(__xludf.DUMMYFUNCTION("IF(OR($A15="""", H$5=""""), """", IF(ISNUMBER(MATCH(H$5, IFERROR(FILTER('MASTER LIST'!$N$2:$AB$294, 'MASTER LIST'!$A$2:$A$294=$A15), """"), 0)), ""Y"", """"))"),"")</f>
        <v/>
      </c>
      <c r="I15" s="92" t="str">
        <f>IFERROR(__xludf.DUMMYFUNCTION("IF(OR($A15="""", I$5=""""), """", IF(ISNUMBER(MATCH(I$5, IFERROR(FILTER('MASTER LIST'!$N$2:$AB$294, 'MASTER LIST'!$A$2:$A$294=$A15), """"), 0)), ""Y"", """"))"),"")</f>
        <v/>
      </c>
      <c r="J15" s="92" t="str">
        <f>IFERROR(__xludf.DUMMYFUNCTION("IF(OR($A15="""", J$5=""""), """", IF(ISNUMBER(MATCH(J$5, IFERROR(FILTER('MASTER LIST'!$N$2:$AB$294, 'MASTER LIST'!$A$2:$A$294=$A15), """"), 0)), ""Y"", """"))"),"")</f>
        <v/>
      </c>
      <c r="K15" s="92" t="str">
        <f>IFERROR(__xludf.DUMMYFUNCTION("IF(OR($A15="""", K$5=""""), """", IF(ISNUMBER(MATCH(K$5, IFERROR(FILTER('MASTER LIST'!$N$2:$AB$294, 'MASTER LIST'!$A$2:$A$294=$A15), """"), 0)), ""Y"", """"))"),"")</f>
        <v/>
      </c>
      <c r="L15" s="92" t="str">
        <f>IFERROR(__xludf.DUMMYFUNCTION("IF(OR($A15="""", L$5=""""), """", IF(ISNUMBER(MATCH(L$5, IFERROR(FILTER('MASTER LIST'!$N$2:$W$294, 'MASTER LIST'!$A$2:$A$294=$A15), """"), 0)), ""Y"", """"))"),"")</f>
        <v/>
      </c>
      <c r="M15" s="92" t="str">
        <f>IFERROR(__xludf.DUMMYFUNCTION("IF(OR($A15="""", M$5=""""), """", IF(ISNUMBER(MATCH(M$5, IFERROR(FILTER('MASTER LIST'!$N$2:$W$294, 'MASTER LIST'!$A$2:$A$294=$A15), """"), 0)), ""Y"", """"))"),"")</f>
        <v/>
      </c>
      <c r="N15" s="92" t="str">
        <f>IFERROR(__xludf.DUMMYFUNCTION("IF(OR($A15="""", N$5=""""), """", IF(ISNUMBER(MATCH(N$5, IFERROR(FILTER('MASTER LIST'!$N$2:$W$294, 'MASTER LIST'!$A$2:$A$294=$A15), """"), 0)), ""Y"", """"))"),"")</f>
        <v/>
      </c>
      <c r="O15" s="92" t="str">
        <f>IFERROR(__xludf.DUMMYFUNCTION("IF(OR($A15="""", O$5=""""), """", IF(ISNUMBER(MATCH(O$5, IFERROR(FILTER('MASTER LIST'!$N$2:$W$294, 'MASTER LIST'!$A$2:$A$294=$A15), """"), 0)), ""Y"", """"))"),"")</f>
        <v/>
      </c>
      <c r="P15" s="92" t="str">
        <f>IFERROR(__xludf.DUMMYFUNCTION("IF(OR($A15="""", P$5=""""), """", IF(ISNUMBER(MATCH(P$5, IFERROR(FILTER('MASTER LIST'!$N$2:$W$294, 'MASTER LIST'!$A$2:$A$294=$A15), """"), 0)), ""Y"", """"))"),"")</f>
        <v/>
      </c>
      <c r="Q15" s="92" t="str">
        <f>IFERROR(__xludf.DUMMYFUNCTION("IF(OR($A15="""", Q$5=""""), """", IF(ISNUMBER(MATCH(Q$5, IFERROR(FILTER('MASTER LIST'!$N$2:$AB$294, 'MASTER LIST'!$A$2:$A$294=$A15), """"), 0)), ""Y"", """"))"),"")</f>
        <v/>
      </c>
      <c r="R15" s="92" t="str">
        <f>IFERROR(__xludf.DUMMYFUNCTION("IF(OR($A15="""", R$5=""""), """", IF(ISNUMBER(MATCH(R$5, IFERROR(FILTER('MASTER LIST'!$N$2:$AB$294, 'MASTER LIST'!$A$2:$A$294=$A15), """"), 0)), ""Y"", """"))"),"")</f>
        <v/>
      </c>
      <c r="S15" s="92" t="str">
        <f>IFERROR(__xludf.DUMMYFUNCTION("IF(OR($A15="""", S$5=""""), """", IF(ISNUMBER(MATCH(S$5, IFERROR(FILTER('MASTER LIST'!$N$2:$AB$294, 'MASTER LIST'!$A$2:$A$294=$A15), """"), 0)), ""Y"", """"))"),"")</f>
        <v/>
      </c>
      <c r="T15" s="92" t="str">
        <f>IFERROR(__xludf.DUMMYFUNCTION("IF(OR($A15="""", T$5=""""), """", IF(ISNUMBER(MATCH(T$5, IFERROR(FILTER('MASTER LIST'!$N$2:$AB$294, 'MASTER LIST'!$A$2:$A$294=$A15), """"), 0)), ""Y"", """"))"),"")</f>
        <v/>
      </c>
      <c r="U15" s="92" t="str">
        <f>IFERROR(__xludf.DUMMYFUNCTION("IF(OR($A15="""", U$5=""""), """", IF(ISNUMBER(MATCH(U$5, IFERROR(FILTER('MASTER LIST'!$N$2:$AB$294, 'MASTER LIST'!$A$2:$A$294=$A15), """"), 0)), ""Y"", """"))"),"")</f>
        <v/>
      </c>
      <c r="V15" s="92" t="str">
        <f>IFERROR(__xludf.DUMMYFUNCTION("IF(OR($A15="""", V$5=""""), """", IF(ISNUMBER(MATCH(V$5, IFERROR(FILTER('MASTER LIST'!$N$2:$AB$294, 'MASTER LIST'!$A$2:$A$294=$A15), """"), 0)), ""Y"", """"))"),"")</f>
        <v/>
      </c>
      <c r="W15" s="92" t="str">
        <f>IFERROR(__xludf.DUMMYFUNCTION("IF(OR($A15="""", W$5=""""), """", IF(ISNUMBER(MATCH(W$5, IFERROR(FILTER('MASTER LIST'!$N$2:$AB$294, 'MASTER LIST'!$A$2:$A$294=$A15), """"), 0)), ""Y"", """"))"),"")</f>
        <v/>
      </c>
      <c r="X15" s="92" t="str">
        <f>IFERROR(__xludf.DUMMYFUNCTION("IF(OR($A15="""", X$5=""""), """", IF(ISNUMBER(MATCH(X$5, IFERROR(FILTER('MASTER LIST'!$N$2:$AB$294, 'MASTER LIST'!$A$2:$A$294=$A15), """"), 0)), ""Y"", """"))"),"")</f>
        <v/>
      </c>
      <c r="Y15" s="92" t="str">
        <f>IFERROR(__xludf.DUMMYFUNCTION("IF(OR($A15="""", Y$5=""""), """", IF(ISNUMBER(MATCH(Y$5, IFERROR(FILTER('MASTER LIST'!$N$2:$AB$294, 'MASTER LIST'!$A$2:$A$294=$A15), """"), 0)), ""Y"", """"))"),"")</f>
        <v/>
      </c>
      <c r="Z15" s="92" t="str">
        <f>IFERROR(__xludf.DUMMYFUNCTION("IF(OR($A15="""", Z$5=""""), """", IF(ISNUMBER(MATCH(Z$5, IFERROR(FILTER('MASTER LIST'!$N$2:$AB$294, 'MASTER LIST'!$A$2:$A$294=$A15), """"), 0)), ""Y"", """"))"),"")</f>
        <v/>
      </c>
      <c r="AA15" s="92" t="str">
        <f>IFERROR(__xludf.DUMMYFUNCTION("IF(OR($A15="""", AA$5=""""), """", IF(ISNUMBER(MATCH(AA$5, IFERROR(FILTER('MASTER LIST'!$N$2:$AB$294, 'MASTER LIST'!$A$2:$A$294=$A15), """"), 0)), ""Y"", """"))"),"")</f>
        <v/>
      </c>
      <c r="AB15" s="92" t="str">
        <f>IFERROR(__xludf.DUMMYFUNCTION("IF(OR($A15="""", AB$5=""""), """", IF(ISNUMBER(MATCH(AB$5, IFERROR(FILTER('MASTER LIST'!$N$2:$AB$294, 'MASTER LIST'!$A$2:$A$294=$A15), """"), 0)), ""Y"", """"))"),"")</f>
        <v/>
      </c>
      <c r="AC15" s="92" t="str">
        <f>IFERROR(__xludf.DUMMYFUNCTION("IF(OR($A15="""", AC$5=""""), """", IF(ISNUMBER(MATCH(AC$5, IFERROR(FILTER('MASTER LIST'!$N$2:$AB$294, 'MASTER LIST'!$A$2:$A$294=$A15), """"), 0)), ""Y"", """"))"),"")</f>
        <v/>
      </c>
      <c r="AD15" s="92" t="str">
        <f>IFERROR(__xludf.DUMMYFUNCTION("IF(OR($A15="""", AD$5=""""), """", IF(ISNUMBER(MATCH(AD$5, IFERROR(FILTER('MASTER LIST'!$N$2:$AB$294, 'MASTER LIST'!$A$2:$A$294=$A15), """"), 0)), ""Y"", """"))"),"")</f>
        <v/>
      </c>
      <c r="AE15" s="92" t="str">
        <f>IFERROR(__xludf.DUMMYFUNCTION("IF(OR($A15="""", AE$5=""""), """", IF(ISNUMBER(MATCH(AE$5, IFERROR(FILTER('MASTER LIST'!$N$2:$AB$294, 'MASTER LIST'!$A$2:$A$294=$A15), """"), 0)), ""Y"", """"))"),"")</f>
        <v/>
      </c>
      <c r="AF15" s="92" t="str">
        <f>IFERROR(__xludf.DUMMYFUNCTION("IF(OR($A15="""", AF$5=""""), """", IF(ISNUMBER(MATCH(AF$5, IFERROR(FILTER('MASTER LIST'!$N$2:$AB$294, 'MASTER LIST'!$A$2:$A$294=$A15), """"), 0)), ""Y"", """"))"),"")</f>
        <v/>
      </c>
      <c r="AG15" s="92" t="str">
        <f>IFERROR(__xludf.DUMMYFUNCTION("IF(OR($A15="""", AG$5=""""), """", IF(ISNUMBER(MATCH(AG$5, IFERROR(FILTER('MASTER LIST'!$N$2:$AB$294, 'MASTER LIST'!$A$2:$A$294=$A15), """"), 0)), ""Y"", """"))"),"")</f>
        <v/>
      </c>
      <c r="AH15" s="92" t="str">
        <f>IFERROR(__xludf.DUMMYFUNCTION("IF(OR($A15="""", AH$5=""""), """", IF(ISNUMBER(MATCH(AH$5, IFERROR(FILTER('MASTER LIST'!$N$2:$AB$294, 'MASTER LIST'!$A$2:$A$294=$A15), """"), 0)), ""Y"", """"))"),"")</f>
        <v/>
      </c>
      <c r="AI15" s="92" t="str">
        <f>IFERROR(__xludf.DUMMYFUNCTION("IF(OR($A15="""", AI$5=""""), """", IF(ISNUMBER(MATCH(AI$5, IFERROR(FILTER('MASTER LIST'!$N$2:$AB$294, 'MASTER LIST'!$A$2:$A$294=$A15), """"), 0)), ""Y"", """"))"),"")</f>
        <v/>
      </c>
      <c r="AJ15" s="92" t="str">
        <f>IFERROR(__xludf.DUMMYFUNCTION("IF(OR($A15="""", AJ$5=""""), """", IF(ISNUMBER(MATCH(AJ$5, IFERROR(FILTER('MASTER LIST'!$N$2:$AB$294, 'MASTER LIST'!$A$2:$A$294=$A15), """"), 0)), ""Y"", """"))"),"")</f>
        <v/>
      </c>
      <c r="AK15" s="92" t="str">
        <f>IFERROR(__xludf.DUMMYFUNCTION("IF(OR($A15="""", AK$5=""""), """", IF(ISNUMBER(MATCH(AK$5, IFERROR(FILTER('MASTER LIST'!$N$2:$AB$294, 'MASTER LIST'!$A$2:$A$294=$A15), """"), 0)), ""Y"", """"))"),"")</f>
        <v/>
      </c>
      <c r="AL15" s="92" t="str">
        <f>IFERROR(__xludf.DUMMYFUNCTION("IF(OR($A15="""", AL$5=""""), """", IF(ISNUMBER(MATCH(AL$5, IFERROR(FILTER('MASTER LIST'!$N$2:$AB$294, 'MASTER LIST'!$A$2:$A$294=$A15), """"), 0)), ""Y"", """"))"),"")</f>
        <v/>
      </c>
      <c r="AM15" s="92" t="str">
        <f>IFERROR(__xludf.DUMMYFUNCTION("IF(OR($A15="""", AM$5=""""), """", IF(ISNUMBER(MATCH(AM$5, IFERROR(FILTER('MASTER LIST'!$N$2:$AB$294, 'MASTER LIST'!$A$2:$A$294=$A15), """"), 0)), ""Y"", """"))"),"")</f>
        <v/>
      </c>
      <c r="AN15" s="92" t="str">
        <f>IFERROR(__xludf.DUMMYFUNCTION("IF(OR($A15="""", AN$5=""""), """", IF(ISNUMBER(MATCH(AN$5, IFERROR(FILTER('MASTER LIST'!$N$2:$AB$294, 'MASTER LIST'!$A$2:$A$294=$A15), """"), 0)), ""Y"", """"))"),"")</f>
        <v/>
      </c>
      <c r="AO15" s="92" t="str">
        <f>IFERROR(__xludf.DUMMYFUNCTION("IF(OR($A15="""", AO$5=""""), """", IF(ISNUMBER(MATCH(AO$5, IFERROR(FILTER('MASTER LIST'!$N$2:$AB$294, 'MASTER LIST'!$A$2:$A$294=$A15), """"), 0)), ""Y"", """"))"),"")</f>
        <v/>
      </c>
      <c r="AP15" s="92" t="str">
        <f>IFERROR(__xludf.DUMMYFUNCTION("IF(OR($A15="""", AP$5=""""), """", IF(ISNUMBER(MATCH(AP$5, IFERROR(FILTER('MASTER LIST'!$N$2:$AB$294, 'MASTER LIST'!$A$2:$A$294=$A15), """"), 0)), ""Y"", """"))"),"")</f>
        <v/>
      </c>
      <c r="AQ15" s="92" t="str">
        <f>IFERROR(__xludf.DUMMYFUNCTION("IF(OR($A15="""", AQ$5=""""), """", IF(ISNUMBER(MATCH(AQ$5, IFERROR(FILTER('MASTER LIST'!$N$2:$AB$294, 'MASTER LIST'!$A$2:$A$294=$A15), """"), 0)), ""Y"", """"))"),"")</f>
        <v/>
      </c>
      <c r="AR15" s="92" t="str">
        <f>IFERROR(__xludf.DUMMYFUNCTION("IF(OR($A15="""", AR$5=""""), """", IF(ISNUMBER(MATCH(AR$5, IFERROR(FILTER('MASTER LIST'!$N$2:$AB$294, 'MASTER LIST'!$A$2:$A$294=$A15), """"), 0)), ""Y"", """"))"),"")</f>
        <v/>
      </c>
      <c r="AS15" s="92" t="str">
        <f>IFERROR(__xludf.DUMMYFUNCTION("IF(OR($A15="""", AS$5=""""), """", IF(ISNUMBER(MATCH(AS$5, IFERROR(FILTER('MASTER LIST'!$N$2:$AB$294, 'MASTER LIST'!$A$2:$A$294=$A15), """"), 0)), ""Y"", """"))"),"")</f>
        <v/>
      </c>
      <c r="AT15" s="92" t="str">
        <f>IFERROR(__xludf.DUMMYFUNCTION("IF(OR($A15="""", AT$5=""""), """", IF(ISNUMBER(MATCH(AT$5, IFERROR(FILTER('MASTER LIST'!$N$2:$AB$294, 'MASTER LIST'!$A$2:$A$294=$A15), """"), 0)), ""Y"", """"))"),"")</f>
        <v/>
      </c>
      <c r="AU15" s="92" t="str">
        <f>IFERROR(__xludf.DUMMYFUNCTION("IF(OR($A15="""", AU$5=""""), """", IF(ISNUMBER(MATCH(AU$5, IFERROR(FILTER('MASTER LIST'!$N$2:$AB$294, 'MASTER LIST'!$A$2:$A$294=$A15), """"), 0)), ""Y"", """"))"),"")</f>
        <v/>
      </c>
      <c r="AV15" s="92" t="str">
        <f>IFERROR(__xludf.DUMMYFUNCTION("IF(OR($A15="""", AV$5=""""), """", IF(ISNUMBER(MATCH(AV$5, IFERROR(FILTER('MASTER LIST'!$N$2:$AB$294, 'MASTER LIST'!$A$2:$A$294=$A15), """"), 0)), ""Y"", """"))"),"")</f>
        <v/>
      </c>
      <c r="AW15" s="92" t="str">
        <f>IFERROR(__xludf.DUMMYFUNCTION("IF(OR($A15="""", AW$5=""""), """", IF(ISNUMBER(MATCH(AW$5, IFERROR(FILTER('MASTER LIST'!$N$2:$AB$294, 'MASTER LIST'!$A$2:$A$294=$A15), """"), 0)), ""Y"", """"))"),"")</f>
        <v/>
      </c>
      <c r="AX15" s="92" t="str">
        <f>IFERROR(__xludf.DUMMYFUNCTION("IF(OR($A15="""", AX$5=""""), """", IF(ISNUMBER(MATCH(AX$5, IFERROR(FILTER('MASTER LIST'!$N$2:$AB$294, 'MASTER LIST'!$A$2:$A$294=$A15), """"), 0)), ""Y"", """"))"),"")</f>
        <v/>
      </c>
      <c r="AY15" s="92" t="str">
        <f>IFERROR(__xludf.DUMMYFUNCTION("IF(OR($A15="""", AY$5=""""), """", IF(ISNUMBER(MATCH(AY$5, IFERROR(FILTER('MASTER LIST'!$N$2:$AB$294, 'MASTER LIST'!$A$2:$A$294=$A15), """"), 0)), ""Y"", """"))"),"")</f>
        <v/>
      </c>
      <c r="AZ15" s="92" t="str">
        <f>IFERROR(__xludf.DUMMYFUNCTION("IF(OR($A15="""", AZ$5=""""), """", IF(ISNUMBER(MATCH(AZ$5, IFERROR(FILTER('MASTER LIST'!$N$2:$AB$294, 'MASTER LIST'!$A$2:$A$294=$A15), """"), 0)), ""Y"", """"))"),"")</f>
        <v/>
      </c>
      <c r="BA15" s="92" t="str">
        <f>IFERROR(__xludf.DUMMYFUNCTION("IF(OR($A15="""", BA$5=""""), """", IF(ISNUMBER(MATCH(BA$5, IFERROR(FILTER('MASTER LIST'!$N$2:$AB$294, 'MASTER LIST'!$A$2:$A$294=$A15), """"), 0)), ""Y"", """"))"),"")</f>
        <v/>
      </c>
      <c r="BB15" s="92" t="str">
        <f>IFERROR(__xludf.DUMMYFUNCTION("IF(OR($A15="""", BB$5=""""), """", IF(ISNUMBER(MATCH(BB$5, IFERROR(FILTER('MASTER LIST'!$N$2:$AB$294, 'MASTER LIST'!$A$2:$A$294=$A15), """"), 0)), ""Y"", """"))"),"")</f>
        <v/>
      </c>
      <c r="BC15" s="92" t="str">
        <f>IFERROR(__xludf.DUMMYFUNCTION("IF(OR($A15="""", BC$5=""""), """", IF(ISNUMBER(MATCH(BC$5, IFERROR(FILTER('MASTER LIST'!$N$2:$AB$294, 'MASTER LIST'!$A$2:$A$294=$A15), """"), 0)), ""Y"", """"))"),"")</f>
        <v/>
      </c>
      <c r="BD15" s="92" t="str">
        <f>IFERROR(__xludf.DUMMYFUNCTION("IF(OR($A15="""", BD$5=""""), """", IF(ISNUMBER(MATCH(BD$5, IFERROR(FILTER('MASTER LIST'!$N$2:$AB$294, 'MASTER LIST'!$A$2:$A$294=$A15), """"), 0)), ""Y"", """"))"),"")</f>
        <v/>
      </c>
      <c r="BE15" s="92" t="str">
        <f>IFERROR(__xludf.DUMMYFUNCTION("IF(OR($A15="""", BE$5=""""), """", IF(ISNUMBER(MATCH(BE$5, IFERROR(FILTER('MASTER LIST'!$N$2:$AB$294, 'MASTER LIST'!$A$2:$A$294=$A15), """"), 0)), ""Y"", """"))"),"")</f>
        <v/>
      </c>
      <c r="BF15" s="92" t="str">
        <f>IFERROR(__xludf.DUMMYFUNCTION("IF(OR($A15="""", BF$5=""""), """", IF(ISNUMBER(MATCH(BF$5, IFERROR(FILTER('MASTER LIST'!$N$2:$AB$294, 'MASTER LIST'!$A$2:$A$294=$A15), """"), 0)), ""Y"", """"))"),"")</f>
        <v/>
      </c>
      <c r="BG15" s="92" t="str">
        <f>IFERROR(__xludf.DUMMYFUNCTION("IF(OR($A15="""", BG$5=""""), """", IF(ISNUMBER(MATCH(BG$5, IFERROR(FILTER('MASTER LIST'!$N$2:$AB$294, 'MASTER LIST'!$A$2:$A$294=$A15), """"), 0)), ""Y"", """"))"),"")</f>
        <v/>
      </c>
      <c r="BH15" s="92" t="str">
        <f>IFERROR(__xludf.DUMMYFUNCTION("IF(OR($A15="""", BH$5=""""), """", IF(ISNUMBER(MATCH(BH$5, IFERROR(FILTER('MASTER LIST'!$N$2:$AB$294, 'MASTER LIST'!$A$2:$A$294=$A15), """"), 0)), ""Y"", """"))"),"")</f>
        <v/>
      </c>
      <c r="BI15" s="92" t="str">
        <f>IFERROR(__xludf.DUMMYFUNCTION("IF(OR($A15="""", BI$5=""""), """", IF(ISNUMBER(MATCH(BI$5, IFERROR(FILTER('MASTER LIST'!$N$2:$AB$294, 'MASTER LIST'!$A$2:$A$294=$A15), """"), 0)), ""Y"", """"))"),"")</f>
        <v/>
      </c>
      <c r="BJ15" s="92" t="str">
        <f>IFERROR(__xludf.DUMMYFUNCTION("IF(OR($A15="""", BJ$5=""""), """", IF(ISNUMBER(MATCH(BJ$5, IFERROR(FILTER('MASTER LIST'!$N$2:$AB$294, 'MASTER LIST'!$A$2:$A$294=$A15), """"), 0)), ""Y"", """"))"),"")</f>
        <v/>
      </c>
      <c r="BK15" s="92" t="str">
        <f>IFERROR(__xludf.DUMMYFUNCTION("IF(OR($A15="""", BK$5=""""), """", IF(ISNUMBER(MATCH(BK$5, IFERROR(FILTER('MASTER LIST'!$N$2:$AB$294, 'MASTER LIST'!$A$2:$A$294=$A15), """"), 0)), ""Y"", """"))"),"")</f>
        <v/>
      </c>
      <c r="BL15" s="92" t="str">
        <f>IFERROR(__xludf.DUMMYFUNCTION("IF(OR($A15="""", BL$5=""""), """", IF(ISNUMBER(MATCH(BL$5, IFERROR(FILTER('MASTER LIST'!$N$2:$AB$294, 'MASTER LIST'!$A$2:$A$294=$A15), """"), 0)), ""Y"", """"))"),"")</f>
        <v/>
      </c>
      <c r="BM15" s="92" t="str">
        <f>IFERROR(__xludf.DUMMYFUNCTION("IF(OR($A15="""", BM$5=""""), """", IF(ISNUMBER(MATCH(BM$5, IFERROR(FILTER('MASTER LIST'!$N$2:$AB$294, 'MASTER LIST'!$A$2:$A$294=$A15), """"), 0)), ""Y"", """"))"),"")</f>
        <v/>
      </c>
      <c r="BN15" s="92" t="str">
        <f>IFERROR(__xludf.DUMMYFUNCTION("IF(OR($A15="""", BN$5=""""), """", IF(ISNUMBER(MATCH(BN$5, IFERROR(FILTER('MASTER LIST'!$N$2:$AB$294, 'MASTER LIST'!$A$2:$A$294=$A15), """"), 0)), ""Y"", """"))"),"")</f>
        <v/>
      </c>
      <c r="BO15" s="92" t="str">
        <f>IFERROR(__xludf.DUMMYFUNCTION("IF(OR($A15="""", BO$5=""""), """", IF(ISNUMBER(MATCH(BO$5, IFERROR(FILTER('MASTER LIST'!$N$2:$AB$294, 'MASTER LIST'!$A$2:$A$294=$A15), """"), 0)), ""Y"", """"))"),"")</f>
        <v/>
      </c>
      <c r="BP15" s="92" t="str">
        <f>IFERROR(__xludf.DUMMYFUNCTION("IF(OR($A15="""", BP$5=""""), """", IF(ISNUMBER(MATCH(BP$5, IFERROR(FILTER('MASTER LIST'!$N$2:$AB$294, 'MASTER LIST'!$A$2:$A$294=$A15), """"), 0)), ""Y"", """"))"),"")</f>
        <v/>
      </c>
      <c r="BQ15" s="92" t="str">
        <f>IFERROR(__xludf.DUMMYFUNCTION("IF(OR($A15="""", BQ$5=""""), """", IF(ISNUMBER(MATCH(BQ$5, IFERROR(FILTER('MASTER LIST'!$N$2:$AB$294, 'MASTER LIST'!$A$2:$A$294=$A15), """"), 0)), ""Y"", """"))"),"")</f>
        <v/>
      </c>
      <c r="BR15" s="92" t="str">
        <f>IFERROR(__xludf.DUMMYFUNCTION("IF(OR($A15="""", BR$5=""""), """", IF(ISNUMBER(MATCH(BR$5, IFERROR(FILTER('MASTER LIST'!$N$2:$AB$294, 'MASTER LIST'!$A$2:$A$294=$A15), """"), 0)), ""Y"", """"))"),"")</f>
        <v/>
      </c>
      <c r="BS15" s="92" t="str">
        <f>IFERROR(__xludf.DUMMYFUNCTION("IF(OR($A15="""", BS$5=""""), """", IF(ISNUMBER(MATCH(BS$5, IFERROR(FILTER('MASTER LIST'!$N$2:$AB$294, 'MASTER LIST'!$A$2:$A$294=$A15), """"), 0)), ""Y"", """"))"),"")</f>
        <v/>
      </c>
      <c r="BT15" s="92" t="str">
        <f>IFERROR(__xludf.DUMMYFUNCTION("IF(OR($A15="""", BT$5=""""), """", IF(ISNUMBER(MATCH(BT$5, IFERROR(FILTER('MASTER LIST'!$N$2:$AB$294, 'MASTER LIST'!$A$2:$A$294=$A15), """"), 0)), ""Y"", """"))"),"")</f>
        <v/>
      </c>
      <c r="BU15" s="92" t="str">
        <f>IFERROR(__xludf.DUMMYFUNCTION("IF(OR($A15="""", BU$5=""""), """", IF(ISNUMBER(MATCH(BU$5, IFERROR(FILTER('MASTER LIST'!$N$2:$AB$294, 'MASTER LIST'!$A$2:$A$294=$A15), """"), 0)), ""Y"", """"))"),"")</f>
        <v/>
      </c>
      <c r="BV15" s="92" t="str">
        <f>IFERROR(__xludf.DUMMYFUNCTION("IF(OR($A15="""", BV$5=""""), """", IF(ISNUMBER(MATCH(BV$5, IFERROR(FILTER('MASTER LIST'!$N$2:$AB$294, 'MASTER LIST'!$A$2:$A$294=$A15), """"), 0)), ""Y"", """"))"),"")</f>
        <v/>
      </c>
      <c r="BW15" s="92" t="str">
        <f>IFERROR(__xludf.DUMMYFUNCTION("IF(OR($A15="""", BW$5=""""), """", IF(ISNUMBER(MATCH(BW$5, IFERROR(FILTER('MASTER LIST'!$N$2:$AB$294, 'MASTER LIST'!$A$2:$A$294=$A15), """"), 0)), ""Y"", """"))"),"")</f>
        <v/>
      </c>
      <c r="BX15" s="92" t="str">
        <f>IFERROR(__xludf.DUMMYFUNCTION("IF(OR($A15="""", BX$5=""""), """", IF(ISNUMBER(MATCH(BX$5, IFERROR(FILTER('MASTER LIST'!$N$2:$AB$294, 'MASTER LIST'!$A$2:$A$294=$A15), """"), 0)), ""Y"", """"))"),"")</f>
        <v/>
      </c>
      <c r="BY15" s="92" t="str">
        <f>IFERROR(__xludf.DUMMYFUNCTION("IF(OR($A15="""", BY$5=""""), """", IF(ISNUMBER(MATCH(BY$5, IFERROR(FILTER('MASTER LIST'!$N$2:$AB$294, 'MASTER LIST'!$A$2:$A$294=$A15), """"), 0)), ""Y"", """"))"),"")</f>
        <v/>
      </c>
      <c r="BZ15" s="92" t="str">
        <f>IFERROR(__xludf.DUMMYFUNCTION("IF(OR($A15="""", BZ$5=""""), """", IF(ISNUMBER(MATCH(BZ$5, IFERROR(FILTER('MASTER LIST'!$N$2:$AB$294, 'MASTER LIST'!$A$2:$A$294=$A15), """"), 0)), ""Y"", """"))"),"")</f>
        <v/>
      </c>
      <c r="CA15" s="92" t="str">
        <f>IFERROR(__xludf.DUMMYFUNCTION("IF(OR($A15="""", CA$5=""""), """", IF(ISNUMBER(MATCH(CA$5, IFERROR(FILTER('MASTER LIST'!$N$2:$AB$294, 'MASTER LIST'!$A$2:$A$294=$A15), """"), 0)), ""Y"", """"))"),"")</f>
        <v/>
      </c>
      <c r="CB15" s="92" t="str">
        <f>IFERROR(__xludf.DUMMYFUNCTION("IF(OR($A15="""", CB$5=""""), """", IF(ISNUMBER(MATCH(CB$5, IFERROR(FILTER('MASTER LIST'!$N$2:$AB$294, 'MASTER LIST'!$A$2:$A$294=$A15), """"), 0)), ""Y"", """"))"),"")</f>
        <v/>
      </c>
      <c r="CC15" s="92"/>
      <c r="CD15" s="92"/>
      <c r="CE15" s="92"/>
      <c r="CF15" s="92"/>
      <c r="CG15" s="92"/>
      <c r="CH15" s="92"/>
      <c r="CI15" s="92"/>
      <c r="CJ15" s="92"/>
      <c r="CK15" s="92"/>
    </row>
    <row r="16">
      <c r="A16" s="75">
        <f>IFERROR(__xludf.DUMMYFUNCTION("""COMPUTED_VALUE"""),330.0)</f>
        <v>330</v>
      </c>
      <c r="B16" s="75" t="str">
        <f>IFERROR(__xludf.DUMMYFUNCTION("""COMPUTED_VALUE"""),"HADEE KAREEM POOKKODAN")</f>
        <v>HADEE KAREEM POOKKODAN</v>
      </c>
      <c r="C16" s="75">
        <f>IFERROR(__xludf.DUMMYFUNCTION("""COMPUTED_VALUE"""),4.0)</f>
        <v>4</v>
      </c>
      <c r="D16" s="75" t="str">
        <f>IFERROR(__xludf.DUMMYFUNCTION("""COMPUTED_VALUE"""),"THĀNIYAH")</f>
        <v>THĀNIYAH</v>
      </c>
      <c r="E16" s="75" t="str">
        <f>IFERROR(__xludf.DUMMYFUNCTION("""COMPUTED_VALUE"""),"TEAM C")</f>
        <v>TEAM C</v>
      </c>
      <c r="F16" s="75" t="str">
        <f>IFERROR(__xludf.DUMMYFUNCTION("""COMPUTED_VALUE"""),"Min 1 Required (Stage &amp; Non-Stage)")</f>
        <v>Min 1 Required (Stage &amp; Non-Stage)</v>
      </c>
      <c r="G16" s="91" t="str">
        <f>IFERROR(__xludf.DUMMYFUNCTION("IF(OR($A16="""", G$5=""""), """", IF(ISNUMBER(MATCH(G$5, IFERROR(FILTER('MASTER LIST'!$N$2:$W$294, 'MASTER LIST'!$A$2:$A$294=$A16), """"), 0)), ""Y"", """"))"),"")</f>
        <v/>
      </c>
      <c r="H16" s="92" t="str">
        <f>IFERROR(__xludf.DUMMYFUNCTION("IF(OR($A16="""", H$5=""""), """", IF(ISNUMBER(MATCH(H$5, IFERROR(FILTER('MASTER LIST'!$N$2:$AB$294, 'MASTER LIST'!$A$2:$A$294=$A16), """"), 0)), ""Y"", """"))"),"")</f>
        <v/>
      </c>
      <c r="I16" s="92" t="str">
        <f>IFERROR(__xludf.DUMMYFUNCTION("IF(OR($A16="""", I$5=""""), """", IF(ISNUMBER(MATCH(I$5, IFERROR(FILTER('MASTER LIST'!$N$2:$AB$294, 'MASTER LIST'!$A$2:$A$294=$A16), """"), 0)), ""Y"", """"))"),"")</f>
        <v/>
      </c>
      <c r="J16" s="92" t="str">
        <f>IFERROR(__xludf.DUMMYFUNCTION("IF(OR($A16="""", J$5=""""), """", IF(ISNUMBER(MATCH(J$5, IFERROR(FILTER('MASTER LIST'!$N$2:$AB$294, 'MASTER LIST'!$A$2:$A$294=$A16), """"), 0)), ""Y"", """"))"),"")</f>
        <v/>
      </c>
      <c r="K16" s="92" t="str">
        <f>IFERROR(__xludf.DUMMYFUNCTION("IF(OR($A16="""", K$5=""""), """", IF(ISNUMBER(MATCH(K$5, IFERROR(FILTER('MASTER LIST'!$N$2:$AB$294, 'MASTER LIST'!$A$2:$A$294=$A16), """"), 0)), ""Y"", """"))"),"")</f>
        <v/>
      </c>
      <c r="L16" s="92" t="str">
        <f>IFERROR(__xludf.DUMMYFUNCTION("IF(OR($A16="""", L$5=""""), """", IF(ISNUMBER(MATCH(L$5, IFERROR(FILTER('MASTER LIST'!$N$2:$W$294, 'MASTER LIST'!$A$2:$A$294=$A16), """"), 0)), ""Y"", """"))"),"")</f>
        <v/>
      </c>
      <c r="M16" s="92" t="str">
        <f>IFERROR(__xludf.DUMMYFUNCTION("IF(OR($A16="""", M$5=""""), """", IF(ISNUMBER(MATCH(M$5, IFERROR(FILTER('MASTER LIST'!$N$2:$W$294, 'MASTER LIST'!$A$2:$A$294=$A16), """"), 0)), ""Y"", """"))"),"")</f>
        <v/>
      </c>
      <c r="N16" s="92" t="str">
        <f>IFERROR(__xludf.DUMMYFUNCTION("IF(OR($A16="""", N$5=""""), """", IF(ISNUMBER(MATCH(N$5, IFERROR(FILTER('MASTER LIST'!$N$2:$W$294, 'MASTER LIST'!$A$2:$A$294=$A16), """"), 0)), ""Y"", """"))"),"")</f>
        <v/>
      </c>
      <c r="O16" s="92" t="str">
        <f>IFERROR(__xludf.DUMMYFUNCTION("IF(OR($A16="""", O$5=""""), """", IF(ISNUMBER(MATCH(O$5, IFERROR(FILTER('MASTER LIST'!$N$2:$W$294, 'MASTER LIST'!$A$2:$A$294=$A16), """"), 0)), ""Y"", """"))"),"")</f>
        <v/>
      </c>
      <c r="P16" s="92" t="str">
        <f>IFERROR(__xludf.DUMMYFUNCTION("IF(OR($A16="""", P$5=""""), """", IF(ISNUMBER(MATCH(P$5, IFERROR(FILTER('MASTER LIST'!$N$2:$W$294, 'MASTER LIST'!$A$2:$A$294=$A16), """"), 0)), ""Y"", """"))"),"")</f>
        <v/>
      </c>
      <c r="Q16" s="92" t="str">
        <f>IFERROR(__xludf.DUMMYFUNCTION("IF(OR($A16="""", Q$5=""""), """", IF(ISNUMBER(MATCH(Q$5, IFERROR(FILTER('MASTER LIST'!$N$2:$AB$294, 'MASTER LIST'!$A$2:$A$294=$A16), """"), 0)), ""Y"", """"))"),"")</f>
        <v/>
      </c>
      <c r="R16" s="92" t="str">
        <f>IFERROR(__xludf.DUMMYFUNCTION("IF(OR($A16="""", R$5=""""), """", IF(ISNUMBER(MATCH(R$5, IFERROR(FILTER('MASTER LIST'!$N$2:$AB$294, 'MASTER LIST'!$A$2:$A$294=$A16), """"), 0)), ""Y"", """"))"),"")</f>
        <v/>
      </c>
      <c r="S16" s="92" t="str">
        <f>IFERROR(__xludf.DUMMYFUNCTION("IF(OR($A16="""", S$5=""""), """", IF(ISNUMBER(MATCH(S$5, IFERROR(FILTER('MASTER LIST'!$N$2:$AB$294, 'MASTER LIST'!$A$2:$A$294=$A16), """"), 0)), ""Y"", """"))"),"")</f>
        <v/>
      </c>
      <c r="T16" s="92" t="str">
        <f>IFERROR(__xludf.DUMMYFUNCTION("IF(OR($A16="""", T$5=""""), """", IF(ISNUMBER(MATCH(T$5, IFERROR(FILTER('MASTER LIST'!$N$2:$AB$294, 'MASTER LIST'!$A$2:$A$294=$A16), """"), 0)), ""Y"", """"))"),"")</f>
        <v/>
      </c>
      <c r="U16" s="92" t="str">
        <f>IFERROR(__xludf.DUMMYFUNCTION("IF(OR($A16="""", U$5=""""), """", IF(ISNUMBER(MATCH(U$5, IFERROR(FILTER('MASTER LIST'!$N$2:$AB$294, 'MASTER LIST'!$A$2:$A$294=$A16), """"), 0)), ""Y"", """"))"),"")</f>
        <v/>
      </c>
      <c r="V16" s="92" t="str">
        <f>IFERROR(__xludf.DUMMYFUNCTION("IF(OR($A16="""", V$5=""""), """", IF(ISNUMBER(MATCH(V$5, IFERROR(FILTER('MASTER LIST'!$N$2:$AB$294, 'MASTER LIST'!$A$2:$A$294=$A16), """"), 0)), ""Y"", """"))"),"")</f>
        <v/>
      </c>
      <c r="W16" s="92" t="str">
        <f>IFERROR(__xludf.DUMMYFUNCTION("IF(OR($A16="""", W$5=""""), """", IF(ISNUMBER(MATCH(W$5, IFERROR(FILTER('MASTER LIST'!$N$2:$AB$294, 'MASTER LIST'!$A$2:$A$294=$A16), """"), 0)), ""Y"", """"))"),"")</f>
        <v/>
      </c>
      <c r="X16" s="92" t="str">
        <f>IFERROR(__xludf.DUMMYFUNCTION("IF(OR($A16="""", X$5=""""), """", IF(ISNUMBER(MATCH(X$5, IFERROR(FILTER('MASTER LIST'!$N$2:$AB$294, 'MASTER LIST'!$A$2:$A$294=$A16), """"), 0)), ""Y"", """"))"),"")</f>
        <v/>
      </c>
      <c r="Y16" s="92" t="str">
        <f>IFERROR(__xludf.DUMMYFUNCTION("IF(OR($A16="""", Y$5=""""), """", IF(ISNUMBER(MATCH(Y$5, IFERROR(FILTER('MASTER LIST'!$N$2:$AB$294, 'MASTER LIST'!$A$2:$A$294=$A16), """"), 0)), ""Y"", """"))"),"")</f>
        <v/>
      </c>
      <c r="Z16" s="92" t="str">
        <f>IFERROR(__xludf.DUMMYFUNCTION("IF(OR($A16="""", Z$5=""""), """", IF(ISNUMBER(MATCH(Z$5, IFERROR(FILTER('MASTER LIST'!$N$2:$AB$294, 'MASTER LIST'!$A$2:$A$294=$A16), """"), 0)), ""Y"", """"))"),"")</f>
        <v/>
      </c>
      <c r="AA16" s="92" t="str">
        <f>IFERROR(__xludf.DUMMYFUNCTION("IF(OR($A16="""", AA$5=""""), """", IF(ISNUMBER(MATCH(AA$5, IFERROR(FILTER('MASTER LIST'!$N$2:$AB$294, 'MASTER LIST'!$A$2:$A$294=$A16), """"), 0)), ""Y"", """"))"),"")</f>
        <v/>
      </c>
      <c r="AB16" s="92" t="str">
        <f>IFERROR(__xludf.DUMMYFUNCTION("IF(OR($A16="""", AB$5=""""), """", IF(ISNUMBER(MATCH(AB$5, IFERROR(FILTER('MASTER LIST'!$N$2:$AB$294, 'MASTER LIST'!$A$2:$A$294=$A16), """"), 0)), ""Y"", """"))"),"")</f>
        <v/>
      </c>
      <c r="AC16" s="92" t="str">
        <f>IFERROR(__xludf.DUMMYFUNCTION("IF(OR($A16="""", AC$5=""""), """", IF(ISNUMBER(MATCH(AC$5, IFERROR(FILTER('MASTER LIST'!$N$2:$AB$294, 'MASTER LIST'!$A$2:$A$294=$A16), """"), 0)), ""Y"", """"))"),"")</f>
        <v/>
      </c>
      <c r="AD16" s="92" t="str">
        <f>IFERROR(__xludf.DUMMYFUNCTION("IF(OR($A16="""", AD$5=""""), """", IF(ISNUMBER(MATCH(AD$5, IFERROR(FILTER('MASTER LIST'!$N$2:$AB$294, 'MASTER LIST'!$A$2:$A$294=$A16), """"), 0)), ""Y"", """"))"),"")</f>
        <v/>
      </c>
      <c r="AE16" s="92" t="str">
        <f>IFERROR(__xludf.DUMMYFUNCTION("IF(OR($A16="""", AE$5=""""), """", IF(ISNUMBER(MATCH(AE$5, IFERROR(FILTER('MASTER LIST'!$N$2:$AB$294, 'MASTER LIST'!$A$2:$A$294=$A16), """"), 0)), ""Y"", """"))"),"")</f>
        <v/>
      </c>
      <c r="AF16" s="92" t="str">
        <f>IFERROR(__xludf.DUMMYFUNCTION("IF(OR($A16="""", AF$5=""""), """", IF(ISNUMBER(MATCH(AF$5, IFERROR(FILTER('MASTER LIST'!$N$2:$AB$294, 'MASTER LIST'!$A$2:$A$294=$A16), """"), 0)), ""Y"", """"))"),"")</f>
        <v/>
      </c>
      <c r="AG16" s="92" t="str">
        <f>IFERROR(__xludf.DUMMYFUNCTION("IF(OR($A16="""", AG$5=""""), """", IF(ISNUMBER(MATCH(AG$5, IFERROR(FILTER('MASTER LIST'!$N$2:$AB$294, 'MASTER LIST'!$A$2:$A$294=$A16), """"), 0)), ""Y"", """"))"),"")</f>
        <v/>
      </c>
      <c r="AH16" s="92" t="str">
        <f>IFERROR(__xludf.DUMMYFUNCTION("IF(OR($A16="""", AH$5=""""), """", IF(ISNUMBER(MATCH(AH$5, IFERROR(FILTER('MASTER LIST'!$N$2:$AB$294, 'MASTER LIST'!$A$2:$A$294=$A16), """"), 0)), ""Y"", """"))"),"")</f>
        <v/>
      </c>
      <c r="AI16" s="92" t="str">
        <f>IFERROR(__xludf.DUMMYFUNCTION("IF(OR($A16="""", AI$5=""""), """", IF(ISNUMBER(MATCH(AI$5, IFERROR(FILTER('MASTER LIST'!$N$2:$AB$294, 'MASTER LIST'!$A$2:$A$294=$A16), """"), 0)), ""Y"", """"))"),"")</f>
        <v/>
      </c>
      <c r="AJ16" s="92" t="str">
        <f>IFERROR(__xludf.DUMMYFUNCTION("IF(OR($A16="""", AJ$5=""""), """", IF(ISNUMBER(MATCH(AJ$5, IFERROR(FILTER('MASTER LIST'!$N$2:$AB$294, 'MASTER LIST'!$A$2:$A$294=$A16), """"), 0)), ""Y"", """"))"),"")</f>
        <v/>
      </c>
      <c r="AK16" s="92" t="str">
        <f>IFERROR(__xludf.DUMMYFUNCTION("IF(OR($A16="""", AK$5=""""), """", IF(ISNUMBER(MATCH(AK$5, IFERROR(FILTER('MASTER LIST'!$N$2:$AB$294, 'MASTER LIST'!$A$2:$A$294=$A16), """"), 0)), ""Y"", """"))"),"")</f>
        <v/>
      </c>
      <c r="AL16" s="92" t="str">
        <f>IFERROR(__xludf.DUMMYFUNCTION("IF(OR($A16="""", AL$5=""""), """", IF(ISNUMBER(MATCH(AL$5, IFERROR(FILTER('MASTER LIST'!$N$2:$AB$294, 'MASTER LIST'!$A$2:$A$294=$A16), """"), 0)), ""Y"", """"))"),"")</f>
        <v/>
      </c>
      <c r="AM16" s="92" t="str">
        <f>IFERROR(__xludf.DUMMYFUNCTION("IF(OR($A16="""", AM$5=""""), """", IF(ISNUMBER(MATCH(AM$5, IFERROR(FILTER('MASTER LIST'!$N$2:$AB$294, 'MASTER LIST'!$A$2:$A$294=$A16), """"), 0)), ""Y"", """"))"),"")</f>
        <v/>
      </c>
      <c r="AN16" s="92" t="str">
        <f>IFERROR(__xludf.DUMMYFUNCTION("IF(OR($A16="""", AN$5=""""), """", IF(ISNUMBER(MATCH(AN$5, IFERROR(FILTER('MASTER LIST'!$N$2:$AB$294, 'MASTER LIST'!$A$2:$A$294=$A16), """"), 0)), ""Y"", """"))"),"")</f>
        <v/>
      </c>
      <c r="AO16" s="92" t="str">
        <f>IFERROR(__xludf.DUMMYFUNCTION("IF(OR($A16="""", AO$5=""""), """", IF(ISNUMBER(MATCH(AO$5, IFERROR(FILTER('MASTER LIST'!$N$2:$AB$294, 'MASTER LIST'!$A$2:$A$294=$A16), """"), 0)), ""Y"", """"))"),"")</f>
        <v/>
      </c>
      <c r="AP16" s="92" t="str">
        <f>IFERROR(__xludf.DUMMYFUNCTION("IF(OR($A16="""", AP$5=""""), """", IF(ISNUMBER(MATCH(AP$5, IFERROR(FILTER('MASTER LIST'!$N$2:$AB$294, 'MASTER LIST'!$A$2:$A$294=$A16), """"), 0)), ""Y"", """"))"),"")</f>
        <v/>
      </c>
      <c r="AQ16" s="92" t="str">
        <f>IFERROR(__xludf.DUMMYFUNCTION("IF(OR($A16="""", AQ$5=""""), """", IF(ISNUMBER(MATCH(AQ$5, IFERROR(FILTER('MASTER LIST'!$N$2:$AB$294, 'MASTER LIST'!$A$2:$A$294=$A16), """"), 0)), ""Y"", """"))"),"")</f>
        <v/>
      </c>
      <c r="AR16" s="92" t="str">
        <f>IFERROR(__xludf.DUMMYFUNCTION("IF(OR($A16="""", AR$5=""""), """", IF(ISNUMBER(MATCH(AR$5, IFERROR(FILTER('MASTER LIST'!$N$2:$AB$294, 'MASTER LIST'!$A$2:$A$294=$A16), """"), 0)), ""Y"", """"))"),"")</f>
        <v/>
      </c>
      <c r="AS16" s="92" t="str">
        <f>IFERROR(__xludf.DUMMYFUNCTION("IF(OR($A16="""", AS$5=""""), """", IF(ISNUMBER(MATCH(AS$5, IFERROR(FILTER('MASTER LIST'!$N$2:$AB$294, 'MASTER LIST'!$A$2:$A$294=$A16), """"), 0)), ""Y"", """"))"),"")</f>
        <v/>
      </c>
      <c r="AT16" s="92" t="str">
        <f>IFERROR(__xludf.DUMMYFUNCTION("IF(OR($A16="""", AT$5=""""), """", IF(ISNUMBER(MATCH(AT$5, IFERROR(FILTER('MASTER LIST'!$N$2:$AB$294, 'MASTER LIST'!$A$2:$A$294=$A16), """"), 0)), ""Y"", """"))"),"")</f>
        <v/>
      </c>
      <c r="AU16" s="92" t="str">
        <f>IFERROR(__xludf.DUMMYFUNCTION("IF(OR($A16="""", AU$5=""""), """", IF(ISNUMBER(MATCH(AU$5, IFERROR(FILTER('MASTER LIST'!$N$2:$AB$294, 'MASTER LIST'!$A$2:$A$294=$A16), """"), 0)), ""Y"", """"))"),"")</f>
        <v/>
      </c>
      <c r="AV16" s="92" t="str">
        <f>IFERROR(__xludf.DUMMYFUNCTION("IF(OR($A16="""", AV$5=""""), """", IF(ISNUMBER(MATCH(AV$5, IFERROR(FILTER('MASTER LIST'!$N$2:$AB$294, 'MASTER LIST'!$A$2:$A$294=$A16), """"), 0)), ""Y"", """"))"),"")</f>
        <v/>
      </c>
      <c r="AW16" s="92" t="str">
        <f>IFERROR(__xludf.DUMMYFUNCTION("IF(OR($A16="""", AW$5=""""), """", IF(ISNUMBER(MATCH(AW$5, IFERROR(FILTER('MASTER LIST'!$N$2:$AB$294, 'MASTER LIST'!$A$2:$A$294=$A16), """"), 0)), ""Y"", """"))"),"")</f>
        <v/>
      </c>
      <c r="AX16" s="92" t="str">
        <f>IFERROR(__xludf.DUMMYFUNCTION("IF(OR($A16="""", AX$5=""""), """", IF(ISNUMBER(MATCH(AX$5, IFERROR(FILTER('MASTER LIST'!$N$2:$AB$294, 'MASTER LIST'!$A$2:$A$294=$A16), """"), 0)), ""Y"", """"))"),"")</f>
        <v/>
      </c>
      <c r="AY16" s="92" t="str">
        <f>IFERROR(__xludf.DUMMYFUNCTION("IF(OR($A16="""", AY$5=""""), """", IF(ISNUMBER(MATCH(AY$5, IFERROR(FILTER('MASTER LIST'!$N$2:$AB$294, 'MASTER LIST'!$A$2:$A$294=$A16), """"), 0)), ""Y"", """"))"),"")</f>
        <v/>
      </c>
      <c r="AZ16" s="92" t="str">
        <f>IFERROR(__xludf.DUMMYFUNCTION("IF(OR($A16="""", AZ$5=""""), """", IF(ISNUMBER(MATCH(AZ$5, IFERROR(FILTER('MASTER LIST'!$N$2:$AB$294, 'MASTER LIST'!$A$2:$A$294=$A16), """"), 0)), ""Y"", """"))"),"")</f>
        <v/>
      </c>
      <c r="BA16" s="92" t="str">
        <f>IFERROR(__xludf.DUMMYFUNCTION("IF(OR($A16="""", BA$5=""""), """", IF(ISNUMBER(MATCH(BA$5, IFERROR(FILTER('MASTER LIST'!$N$2:$AB$294, 'MASTER LIST'!$A$2:$A$294=$A16), """"), 0)), ""Y"", """"))"),"")</f>
        <v/>
      </c>
      <c r="BB16" s="92" t="str">
        <f>IFERROR(__xludf.DUMMYFUNCTION("IF(OR($A16="""", BB$5=""""), """", IF(ISNUMBER(MATCH(BB$5, IFERROR(FILTER('MASTER LIST'!$N$2:$AB$294, 'MASTER LIST'!$A$2:$A$294=$A16), """"), 0)), ""Y"", """"))"),"")</f>
        <v/>
      </c>
      <c r="BC16" s="92" t="str">
        <f>IFERROR(__xludf.DUMMYFUNCTION("IF(OR($A16="""", BC$5=""""), """", IF(ISNUMBER(MATCH(BC$5, IFERROR(FILTER('MASTER LIST'!$N$2:$AB$294, 'MASTER LIST'!$A$2:$A$294=$A16), """"), 0)), ""Y"", """"))"),"")</f>
        <v/>
      </c>
      <c r="BD16" s="92" t="str">
        <f>IFERROR(__xludf.DUMMYFUNCTION("IF(OR($A16="""", BD$5=""""), """", IF(ISNUMBER(MATCH(BD$5, IFERROR(FILTER('MASTER LIST'!$N$2:$AB$294, 'MASTER LIST'!$A$2:$A$294=$A16), """"), 0)), ""Y"", """"))"),"")</f>
        <v/>
      </c>
      <c r="BE16" s="92" t="str">
        <f>IFERROR(__xludf.DUMMYFUNCTION("IF(OR($A16="""", BE$5=""""), """", IF(ISNUMBER(MATCH(BE$5, IFERROR(FILTER('MASTER LIST'!$N$2:$AB$294, 'MASTER LIST'!$A$2:$A$294=$A16), """"), 0)), ""Y"", """"))"),"")</f>
        <v/>
      </c>
      <c r="BF16" s="92" t="str">
        <f>IFERROR(__xludf.DUMMYFUNCTION("IF(OR($A16="""", BF$5=""""), """", IF(ISNUMBER(MATCH(BF$5, IFERROR(FILTER('MASTER LIST'!$N$2:$AB$294, 'MASTER LIST'!$A$2:$A$294=$A16), """"), 0)), ""Y"", """"))"),"")</f>
        <v/>
      </c>
      <c r="BG16" s="92" t="str">
        <f>IFERROR(__xludf.DUMMYFUNCTION("IF(OR($A16="""", BG$5=""""), """", IF(ISNUMBER(MATCH(BG$5, IFERROR(FILTER('MASTER LIST'!$N$2:$AB$294, 'MASTER LIST'!$A$2:$A$294=$A16), """"), 0)), ""Y"", """"))"),"")</f>
        <v/>
      </c>
      <c r="BH16" s="92" t="str">
        <f>IFERROR(__xludf.DUMMYFUNCTION("IF(OR($A16="""", BH$5=""""), """", IF(ISNUMBER(MATCH(BH$5, IFERROR(FILTER('MASTER LIST'!$N$2:$AB$294, 'MASTER LIST'!$A$2:$A$294=$A16), """"), 0)), ""Y"", """"))"),"")</f>
        <v/>
      </c>
      <c r="BI16" s="92" t="str">
        <f>IFERROR(__xludf.DUMMYFUNCTION("IF(OR($A16="""", BI$5=""""), """", IF(ISNUMBER(MATCH(BI$5, IFERROR(FILTER('MASTER LIST'!$N$2:$AB$294, 'MASTER LIST'!$A$2:$A$294=$A16), """"), 0)), ""Y"", """"))"),"")</f>
        <v/>
      </c>
      <c r="BJ16" s="92" t="str">
        <f>IFERROR(__xludf.DUMMYFUNCTION("IF(OR($A16="""", BJ$5=""""), """", IF(ISNUMBER(MATCH(BJ$5, IFERROR(FILTER('MASTER LIST'!$N$2:$AB$294, 'MASTER LIST'!$A$2:$A$294=$A16), """"), 0)), ""Y"", """"))"),"")</f>
        <v/>
      </c>
      <c r="BK16" s="92" t="str">
        <f>IFERROR(__xludf.DUMMYFUNCTION("IF(OR($A16="""", BK$5=""""), """", IF(ISNUMBER(MATCH(BK$5, IFERROR(FILTER('MASTER LIST'!$N$2:$AB$294, 'MASTER LIST'!$A$2:$A$294=$A16), """"), 0)), ""Y"", """"))"),"")</f>
        <v/>
      </c>
      <c r="BL16" s="92" t="str">
        <f>IFERROR(__xludf.DUMMYFUNCTION("IF(OR($A16="""", BL$5=""""), """", IF(ISNUMBER(MATCH(BL$5, IFERROR(FILTER('MASTER LIST'!$N$2:$AB$294, 'MASTER LIST'!$A$2:$A$294=$A16), """"), 0)), ""Y"", """"))"),"")</f>
        <v/>
      </c>
      <c r="BM16" s="92" t="str">
        <f>IFERROR(__xludf.DUMMYFUNCTION("IF(OR($A16="""", BM$5=""""), """", IF(ISNUMBER(MATCH(BM$5, IFERROR(FILTER('MASTER LIST'!$N$2:$AB$294, 'MASTER LIST'!$A$2:$A$294=$A16), """"), 0)), ""Y"", """"))"),"")</f>
        <v/>
      </c>
      <c r="BN16" s="92" t="str">
        <f>IFERROR(__xludf.DUMMYFUNCTION("IF(OR($A16="""", BN$5=""""), """", IF(ISNUMBER(MATCH(BN$5, IFERROR(FILTER('MASTER LIST'!$N$2:$AB$294, 'MASTER LIST'!$A$2:$A$294=$A16), """"), 0)), ""Y"", """"))"),"")</f>
        <v/>
      </c>
      <c r="BO16" s="92" t="str">
        <f>IFERROR(__xludf.DUMMYFUNCTION("IF(OR($A16="""", BO$5=""""), """", IF(ISNUMBER(MATCH(BO$5, IFERROR(FILTER('MASTER LIST'!$N$2:$AB$294, 'MASTER LIST'!$A$2:$A$294=$A16), """"), 0)), ""Y"", """"))"),"")</f>
        <v/>
      </c>
      <c r="BP16" s="92" t="str">
        <f>IFERROR(__xludf.DUMMYFUNCTION("IF(OR($A16="""", BP$5=""""), """", IF(ISNUMBER(MATCH(BP$5, IFERROR(FILTER('MASTER LIST'!$N$2:$AB$294, 'MASTER LIST'!$A$2:$A$294=$A16), """"), 0)), ""Y"", """"))"),"")</f>
        <v/>
      </c>
      <c r="BQ16" s="92" t="str">
        <f>IFERROR(__xludf.DUMMYFUNCTION("IF(OR($A16="""", BQ$5=""""), """", IF(ISNUMBER(MATCH(BQ$5, IFERROR(FILTER('MASTER LIST'!$N$2:$AB$294, 'MASTER LIST'!$A$2:$A$294=$A16), """"), 0)), ""Y"", """"))"),"")</f>
        <v/>
      </c>
      <c r="BR16" s="92" t="str">
        <f>IFERROR(__xludf.DUMMYFUNCTION("IF(OR($A16="""", BR$5=""""), """", IF(ISNUMBER(MATCH(BR$5, IFERROR(FILTER('MASTER LIST'!$N$2:$AB$294, 'MASTER LIST'!$A$2:$A$294=$A16), """"), 0)), ""Y"", """"))"),"")</f>
        <v/>
      </c>
      <c r="BS16" s="92" t="str">
        <f>IFERROR(__xludf.DUMMYFUNCTION("IF(OR($A16="""", BS$5=""""), """", IF(ISNUMBER(MATCH(BS$5, IFERROR(FILTER('MASTER LIST'!$N$2:$AB$294, 'MASTER LIST'!$A$2:$A$294=$A16), """"), 0)), ""Y"", """"))"),"")</f>
        <v/>
      </c>
      <c r="BT16" s="92" t="str">
        <f>IFERROR(__xludf.DUMMYFUNCTION("IF(OR($A16="""", BT$5=""""), """", IF(ISNUMBER(MATCH(BT$5, IFERROR(FILTER('MASTER LIST'!$N$2:$AB$294, 'MASTER LIST'!$A$2:$A$294=$A16), """"), 0)), ""Y"", """"))"),"")</f>
        <v/>
      </c>
      <c r="BU16" s="92" t="str">
        <f>IFERROR(__xludf.DUMMYFUNCTION("IF(OR($A16="""", BU$5=""""), """", IF(ISNUMBER(MATCH(BU$5, IFERROR(FILTER('MASTER LIST'!$N$2:$AB$294, 'MASTER LIST'!$A$2:$A$294=$A16), """"), 0)), ""Y"", """"))"),"")</f>
        <v/>
      </c>
      <c r="BV16" s="92" t="str">
        <f>IFERROR(__xludf.DUMMYFUNCTION("IF(OR($A16="""", BV$5=""""), """", IF(ISNUMBER(MATCH(BV$5, IFERROR(FILTER('MASTER LIST'!$N$2:$AB$294, 'MASTER LIST'!$A$2:$A$294=$A16), """"), 0)), ""Y"", """"))"),"")</f>
        <v/>
      </c>
      <c r="BW16" s="92" t="str">
        <f>IFERROR(__xludf.DUMMYFUNCTION("IF(OR($A16="""", BW$5=""""), """", IF(ISNUMBER(MATCH(BW$5, IFERROR(FILTER('MASTER LIST'!$N$2:$AB$294, 'MASTER LIST'!$A$2:$A$294=$A16), """"), 0)), ""Y"", """"))"),"")</f>
        <v/>
      </c>
      <c r="BX16" s="92" t="str">
        <f>IFERROR(__xludf.DUMMYFUNCTION("IF(OR($A16="""", BX$5=""""), """", IF(ISNUMBER(MATCH(BX$5, IFERROR(FILTER('MASTER LIST'!$N$2:$AB$294, 'MASTER LIST'!$A$2:$A$294=$A16), """"), 0)), ""Y"", """"))"),"")</f>
        <v/>
      </c>
      <c r="BY16" s="92" t="str">
        <f>IFERROR(__xludf.DUMMYFUNCTION("IF(OR($A16="""", BY$5=""""), """", IF(ISNUMBER(MATCH(BY$5, IFERROR(FILTER('MASTER LIST'!$N$2:$AB$294, 'MASTER LIST'!$A$2:$A$294=$A16), """"), 0)), ""Y"", """"))"),"")</f>
        <v/>
      </c>
      <c r="BZ16" s="92" t="str">
        <f>IFERROR(__xludf.DUMMYFUNCTION("IF(OR($A16="""", BZ$5=""""), """", IF(ISNUMBER(MATCH(BZ$5, IFERROR(FILTER('MASTER LIST'!$N$2:$AB$294, 'MASTER LIST'!$A$2:$A$294=$A16), """"), 0)), ""Y"", """"))"),"")</f>
        <v/>
      </c>
      <c r="CA16" s="92" t="str">
        <f>IFERROR(__xludf.DUMMYFUNCTION("IF(OR($A16="""", CA$5=""""), """", IF(ISNUMBER(MATCH(CA$5, IFERROR(FILTER('MASTER LIST'!$N$2:$AB$294, 'MASTER LIST'!$A$2:$A$294=$A16), """"), 0)), ""Y"", """"))"),"")</f>
        <v/>
      </c>
      <c r="CB16" s="92" t="str">
        <f>IFERROR(__xludf.DUMMYFUNCTION("IF(OR($A16="""", CB$5=""""), """", IF(ISNUMBER(MATCH(CB$5, IFERROR(FILTER('MASTER LIST'!$N$2:$AB$294, 'MASTER LIST'!$A$2:$A$294=$A16), """"), 0)), ""Y"", """"))"),"")</f>
        <v/>
      </c>
      <c r="CC16" s="92"/>
      <c r="CD16" s="92"/>
      <c r="CE16" s="92"/>
      <c r="CF16" s="92"/>
      <c r="CG16" s="92"/>
      <c r="CH16" s="92"/>
      <c r="CI16" s="92"/>
      <c r="CJ16" s="92"/>
      <c r="CK16" s="92"/>
    </row>
    <row r="17">
      <c r="A17" s="75">
        <f>IFERROR(__xludf.DUMMYFUNCTION("""COMPUTED_VALUE"""),313.0)</f>
        <v>313</v>
      </c>
      <c r="B17" s="75" t="str">
        <f>IFERROR(__xludf.DUMMYFUNCTION("""COMPUTED_VALUE"""),"MUHAMMED NAIF M")</f>
        <v>MUHAMMED NAIF M</v>
      </c>
      <c r="C17" s="75">
        <f>IFERROR(__xludf.DUMMYFUNCTION("""COMPUTED_VALUE"""),4.0)</f>
        <v>4</v>
      </c>
      <c r="D17" s="75" t="str">
        <f>IFERROR(__xludf.DUMMYFUNCTION("""COMPUTED_VALUE"""),"THĀNIYAH")</f>
        <v>THĀNIYAH</v>
      </c>
      <c r="E17" s="75" t="str">
        <f>IFERROR(__xludf.DUMMYFUNCTION("""COMPUTED_VALUE"""),"TEAM C")</f>
        <v>TEAM C</v>
      </c>
      <c r="F17" s="75" t="str">
        <f>IFERROR(__xludf.DUMMYFUNCTION("""COMPUTED_VALUE"""),"Min 1 Required (Stage &amp; Non-Stage)")</f>
        <v>Min 1 Required (Stage &amp; Non-Stage)</v>
      </c>
      <c r="G17" s="79" t="str">
        <f>IFERROR(__xludf.DUMMYFUNCTION("IF(OR($A17="""", G$5=""""), """", IF(ISNUMBER(MATCH(G$5, IFERROR(FILTER('MASTER LIST'!$N$2:$W$294, 'MASTER LIST'!$A$2:$A$294=$A17), """"), 0)), ""Y"", """"))"),"")</f>
        <v/>
      </c>
      <c r="H17" s="92" t="str">
        <f>IFERROR(__xludf.DUMMYFUNCTION("IF(OR($A17="""", H$5=""""), """", IF(ISNUMBER(MATCH(H$5, IFERROR(FILTER('MASTER LIST'!$N$2:$AB$294, 'MASTER LIST'!$A$2:$A$294=$A17), """"), 0)), ""Y"", """"))"),"")</f>
        <v/>
      </c>
      <c r="J17" s="92" t="str">
        <f>IFERROR(__xludf.DUMMYFUNCTION("IF(OR($A17="""", J$5=""""), """", IF(ISNUMBER(MATCH(J$5, IFERROR(FILTER('MASTER LIST'!$N$2:$AB$294, 'MASTER LIST'!$A$2:$A$294=$A17), """"), 0)), ""Y"", """"))"),"")</f>
        <v/>
      </c>
      <c r="K17" s="92" t="str">
        <f>IFERROR(__xludf.DUMMYFUNCTION("IF(OR($A17="""", K$5=""""), """", IF(ISNUMBER(MATCH(K$5, IFERROR(FILTER('MASTER LIST'!$N$2:$AB$294, 'MASTER LIST'!$A$2:$A$294=$A17), """"), 0)), ""Y"", """"))"),"")</f>
        <v/>
      </c>
      <c r="L17" s="92" t="str">
        <f>IFERROR(__xludf.DUMMYFUNCTION("IF(OR($A17="""", L$5=""""), """", IF(ISNUMBER(MATCH(L$5, IFERROR(FILTER('MASTER LIST'!$N$2:$W$294, 'MASTER LIST'!$A$2:$A$294=$A17), """"), 0)), ""Y"", """"))"),"")</f>
        <v/>
      </c>
      <c r="M17" s="92" t="str">
        <f>IFERROR(__xludf.DUMMYFUNCTION("IF(OR($A17="""", M$5=""""), """", IF(ISNUMBER(MATCH(M$5, IFERROR(FILTER('MASTER LIST'!$N$2:$W$294, 'MASTER LIST'!$A$2:$A$294=$A17), """"), 0)), ""Y"", """"))"),"")</f>
        <v/>
      </c>
      <c r="N17" s="92" t="str">
        <f>IFERROR(__xludf.DUMMYFUNCTION("IF(OR($A17="""", N$5=""""), """", IF(ISNUMBER(MATCH(N$5, IFERROR(FILTER('MASTER LIST'!$N$2:$W$294, 'MASTER LIST'!$A$2:$A$294=$A17), """"), 0)), ""Y"", """"))"),"")</f>
        <v/>
      </c>
      <c r="O17" s="92" t="str">
        <f>IFERROR(__xludf.DUMMYFUNCTION("IF(OR($A17="""", O$5=""""), """", IF(ISNUMBER(MATCH(O$5, IFERROR(FILTER('MASTER LIST'!$N$2:$W$294, 'MASTER LIST'!$A$2:$A$294=$A17), """"), 0)), ""Y"", """"))"),"")</f>
        <v/>
      </c>
      <c r="P17" s="92" t="str">
        <f>IFERROR(__xludf.DUMMYFUNCTION("IF(OR($A17="""", P$5=""""), """", IF(ISNUMBER(MATCH(P$5, IFERROR(FILTER('MASTER LIST'!$N$2:$W$294, 'MASTER LIST'!$A$2:$A$294=$A17), """"), 0)), ""Y"", """"))"),"")</f>
        <v/>
      </c>
      <c r="Q17" s="92" t="str">
        <f>IFERROR(__xludf.DUMMYFUNCTION("IF(OR($A17="""", Q$5=""""), """", IF(ISNUMBER(MATCH(Q$5, IFERROR(FILTER('MASTER LIST'!$N$2:$AB$294, 'MASTER LIST'!$A$2:$A$294=$A17), """"), 0)), ""Y"", """"))"),"")</f>
        <v/>
      </c>
      <c r="R17" s="92" t="str">
        <f>IFERROR(__xludf.DUMMYFUNCTION("IF(OR($A17="""", R$5=""""), """", IF(ISNUMBER(MATCH(R$5, IFERROR(FILTER('MASTER LIST'!$N$2:$AB$294, 'MASTER LIST'!$A$2:$A$294=$A17), """"), 0)), ""Y"", """"))"),"")</f>
        <v/>
      </c>
      <c r="S17" s="92" t="str">
        <f>IFERROR(__xludf.DUMMYFUNCTION("IF(OR($A17="""", S$5=""""), """", IF(ISNUMBER(MATCH(S$5, IFERROR(FILTER('MASTER LIST'!$N$2:$AB$294, 'MASTER LIST'!$A$2:$A$294=$A17), """"), 0)), ""Y"", """"))"),"")</f>
        <v/>
      </c>
      <c r="T17" s="92" t="str">
        <f>IFERROR(__xludf.DUMMYFUNCTION("IF(OR($A17="""", T$5=""""), """", IF(ISNUMBER(MATCH(T$5, IFERROR(FILTER('MASTER LIST'!$N$2:$AB$294, 'MASTER LIST'!$A$2:$A$294=$A17), """"), 0)), ""Y"", """"))"),"")</f>
        <v/>
      </c>
      <c r="U17" s="92" t="str">
        <f>IFERROR(__xludf.DUMMYFUNCTION("IF(OR($A17="""", U$5=""""), """", IF(ISNUMBER(MATCH(U$5, IFERROR(FILTER('MASTER LIST'!$N$2:$AB$294, 'MASTER LIST'!$A$2:$A$294=$A17), """"), 0)), ""Y"", """"))"),"")</f>
        <v/>
      </c>
      <c r="V17" s="92" t="str">
        <f>IFERROR(__xludf.DUMMYFUNCTION("IF(OR($A17="""", V$5=""""), """", IF(ISNUMBER(MATCH(V$5, IFERROR(FILTER('MASTER LIST'!$N$2:$AB$294, 'MASTER LIST'!$A$2:$A$294=$A17), """"), 0)), ""Y"", """"))"),"")</f>
        <v/>
      </c>
      <c r="W17" s="92" t="str">
        <f>IFERROR(__xludf.DUMMYFUNCTION("IF(OR($A17="""", W$5=""""), """", IF(ISNUMBER(MATCH(W$5, IFERROR(FILTER('MASTER LIST'!$N$2:$AB$294, 'MASTER LIST'!$A$2:$A$294=$A17), """"), 0)), ""Y"", """"))"),"")</f>
        <v/>
      </c>
      <c r="X17" s="92" t="str">
        <f>IFERROR(__xludf.DUMMYFUNCTION("IF(OR($A17="""", X$5=""""), """", IF(ISNUMBER(MATCH(X$5, IFERROR(FILTER('MASTER LIST'!$N$2:$AB$294, 'MASTER LIST'!$A$2:$A$294=$A17), """"), 0)), ""Y"", """"))"),"")</f>
        <v/>
      </c>
      <c r="Y17" s="92" t="str">
        <f>IFERROR(__xludf.DUMMYFUNCTION("IF(OR($A17="""", Y$5=""""), """", IF(ISNUMBER(MATCH(Y$5, IFERROR(FILTER('MASTER LIST'!$N$2:$AB$294, 'MASTER LIST'!$A$2:$A$294=$A17), """"), 0)), ""Y"", """"))"),"")</f>
        <v/>
      </c>
      <c r="Z17" s="92" t="str">
        <f>IFERROR(__xludf.DUMMYFUNCTION("IF(OR($A17="""", Z$5=""""), """", IF(ISNUMBER(MATCH(Z$5, IFERROR(FILTER('MASTER LIST'!$N$2:$AB$294, 'MASTER LIST'!$A$2:$A$294=$A17), """"), 0)), ""Y"", """"))"),"")</f>
        <v/>
      </c>
      <c r="AA17" s="92" t="str">
        <f>IFERROR(__xludf.DUMMYFUNCTION("IF(OR($A17="""", AA$5=""""), """", IF(ISNUMBER(MATCH(AA$5, IFERROR(FILTER('MASTER LIST'!$N$2:$AB$294, 'MASTER LIST'!$A$2:$A$294=$A17), """"), 0)), ""Y"", """"))"),"")</f>
        <v/>
      </c>
      <c r="AB17" s="92" t="str">
        <f>IFERROR(__xludf.DUMMYFUNCTION("IF(OR($A17="""", AB$5=""""), """", IF(ISNUMBER(MATCH(AB$5, IFERROR(FILTER('MASTER LIST'!$N$2:$AB$294, 'MASTER LIST'!$A$2:$A$294=$A17), """"), 0)), ""Y"", """"))"),"")</f>
        <v/>
      </c>
      <c r="AC17" s="92" t="str">
        <f>IFERROR(__xludf.DUMMYFUNCTION("IF(OR($A17="""", AC$5=""""), """", IF(ISNUMBER(MATCH(AC$5, IFERROR(FILTER('MASTER LIST'!$N$2:$AB$294, 'MASTER LIST'!$A$2:$A$294=$A17), """"), 0)), ""Y"", """"))"),"")</f>
        <v/>
      </c>
      <c r="AD17" s="92" t="str">
        <f>IFERROR(__xludf.DUMMYFUNCTION("IF(OR($A17="""", AD$5=""""), """", IF(ISNUMBER(MATCH(AD$5, IFERROR(FILTER('MASTER LIST'!$N$2:$AB$294, 'MASTER LIST'!$A$2:$A$294=$A17), """"), 0)), ""Y"", """"))"),"")</f>
        <v/>
      </c>
      <c r="AE17" s="92" t="str">
        <f>IFERROR(__xludf.DUMMYFUNCTION("IF(OR($A17="""", AE$5=""""), """", IF(ISNUMBER(MATCH(AE$5, IFERROR(FILTER('MASTER LIST'!$N$2:$AB$294, 'MASTER LIST'!$A$2:$A$294=$A17), """"), 0)), ""Y"", """"))"),"")</f>
        <v/>
      </c>
      <c r="AF17" s="92" t="str">
        <f>IFERROR(__xludf.DUMMYFUNCTION("IF(OR($A17="""", AF$5=""""), """", IF(ISNUMBER(MATCH(AF$5, IFERROR(FILTER('MASTER LIST'!$N$2:$AB$294, 'MASTER LIST'!$A$2:$A$294=$A17), """"), 0)), ""Y"", """"))"),"")</f>
        <v/>
      </c>
      <c r="AG17" s="92" t="str">
        <f>IFERROR(__xludf.DUMMYFUNCTION("IF(OR($A17="""", AG$5=""""), """", IF(ISNUMBER(MATCH(AG$5, IFERROR(FILTER('MASTER LIST'!$N$2:$AB$294, 'MASTER LIST'!$A$2:$A$294=$A17), """"), 0)), ""Y"", """"))"),"")</f>
        <v/>
      </c>
      <c r="AH17" s="92" t="str">
        <f>IFERROR(__xludf.DUMMYFUNCTION("IF(OR($A17="""", AH$5=""""), """", IF(ISNUMBER(MATCH(AH$5, IFERROR(FILTER('MASTER LIST'!$N$2:$AB$294, 'MASTER LIST'!$A$2:$A$294=$A17), """"), 0)), ""Y"", """"))"),"")</f>
        <v/>
      </c>
      <c r="AI17" s="92" t="str">
        <f>IFERROR(__xludf.DUMMYFUNCTION("IF(OR($A17="""", AI$5=""""), """", IF(ISNUMBER(MATCH(AI$5, IFERROR(FILTER('MASTER LIST'!$N$2:$AB$294, 'MASTER LIST'!$A$2:$A$294=$A17), """"), 0)), ""Y"", """"))"),"")</f>
        <v/>
      </c>
      <c r="AJ17" s="92" t="str">
        <f>IFERROR(__xludf.DUMMYFUNCTION("IF(OR($A17="""", AJ$5=""""), """", IF(ISNUMBER(MATCH(AJ$5, IFERROR(FILTER('MASTER LIST'!$N$2:$AB$294, 'MASTER LIST'!$A$2:$A$294=$A17), """"), 0)), ""Y"", """"))"),"")</f>
        <v/>
      </c>
      <c r="AK17" s="92" t="str">
        <f>IFERROR(__xludf.DUMMYFUNCTION("IF(OR($A17="""", AK$5=""""), """", IF(ISNUMBER(MATCH(AK$5, IFERROR(FILTER('MASTER LIST'!$N$2:$AB$294, 'MASTER LIST'!$A$2:$A$294=$A17), """"), 0)), ""Y"", """"))"),"")</f>
        <v/>
      </c>
      <c r="AL17" s="92" t="str">
        <f>IFERROR(__xludf.DUMMYFUNCTION("IF(OR($A17="""", AL$5=""""), """", IF(ISNUMBER(MATCH(AL$5, IFERROR(FILTER('MASTER LIST'!$N$2:$AB$294, 'MASTER LIST'!$A$2:$A$294=$A17), """"), 0)), ""Y"", """"))"),"")</f>
        <v/>
      </c>
      <c r="AM17" s="92" t="str">
        <f>IFERROR(__xludf.DUMMYFUNCTION("IF(OR($A17="""", AM$5=""""), """", IF(ISNUMBER(MATCH(AM$5, IFERROR(FILTER('MASTER LIST'!$N$2:$AB$294, 'MASTER LIST'!$A$2:$A$294=$A17), """"), 0)), ""Y"", """"))"),"")</f>
        <v/>
      </c>
      <c r="AN17" s="92" t="str">
        <f>IFERROR(__xludf.DUMMYFUNCTION("IF(OR($A17="""", AN$5=""""), """", IF(ISNUMBER(MATCH(AN$5, IFERROR(FILTER('MASTER LIST'!$N$2:$AB$294, 'MASTER LIST'!$A$2:$A$294=$A17), """"), 0)), ""Y"", """"))"),"")</f>
        <v/>
      </c>
      <c r="AO17" s="92" t="str">
        <f>IFERROR(__xludf.DUMMYFUNCTION("IF(OR($A17="""", AO$5=""""), """", IF(ISNUMBER(MATCH(AO$5, IFERROR(FILTER('MASTER LIST'!$N$2:$AB$294, 'MASTER LIST'!$A$2:$A$294=$A17), """"), 0)), ""Y"", """"))"),"")</f>
        <v/>
      </c>
      <c r="AP17" s="92" t="str">
        <f>IFERROR(__xludf.DUMMYFUNCTION("IF(OR($A17="""", AP$5=""""), """", IF(ISNUMBER(MATCH(AP$5, IFERROR(FILTER('MASTER LIST'!$N$2:$AB$294, 'MASTER LIST'!$A$2:$A$294=$A17), """"), 0)), ""Y"", """"))"),"")</f>
        <v/>
      </c>
      <c r="AQ17" s="92" t="str">
        <f>IFERROR(__xludf.DUMMYFUNCTION("IF(OR($A17="""", AQ$5=""""), """", IF(ISNUMBER(MATCH(AQ$5, IFERROR(FILTER('MASTER LIST'!$N$2:$AB$294, 'MASTER LIST'!$A$2:$A$294=$A17), """"), 0)), ""Y"", """"))"),"")</f>
        <v/>
      </c>
      <c r="AR17" s="92" t="str">
        <f>IFERROR(__xludf.DUMMYFUNCTION("IF(OR($A17="""", AR$5=""""), """", IF(ISNUMBER(MATCH(AR$5, IFERROR(FILTER('MASTER LIST'!$N$2:$AB$294, 'MASTER LIST'!$A$2:$A$294=$A17), """"), 0)), ""Y"", """"))"),"")</f>
        <v/>
      </c>
      <c r="AS17" s="92" t="str">
        <f>IFERROR(__xludf.DUMMYFUNCTION("IF(OR($A17="""", AS$5=""""), """", IF(ISNUMBER(MATCH(AS$5, IFERROR(FILTER('MASTER LIST'!$N$2:$AB$294, 'MASTER LIST'!$A$2:$A$294=$A17), """"), 0)), ""Y"", """"))"),"")</f>
        <v/>
      </c>
      <c r="AT17" s="92" t="str">
        <f>IFERROR(__xludf.DUMMYFUNCTION("IF(OR($A17="""", AT$5=""""), """", IF(ISNUMBER(MATCH(AT$5, IFERROR(FILTER('MASTER LIST'!$N$2:$AB$294, 'MASTER LIST'!$A$2:$A$294=$A17), """"), 0)), ""Y"", """"))"),"")</f>
        <v/>
      </c>
      <c r="AU17" s="92" t="str">
        <f>IFERROR(__xludf.DUMMYFUNCTION("IF(OR($A17="""", AU$5=""""), """", IF(ISNUMBER(MATCH(AU$5, IFERROR(FILTER('MASTER LIST'!$N$2:$AB$294, 'MASTER LIST'!$A$2:$A$294=$A17), """"), 0)), ""Y"", """"))"),"")</f>
        <v/>
      </c>
      <c r="AV17" s="92" t="str">
        <f>IFERROR(__xludf.DUMMYFUNCTION("IF(OR($A17="""", AV$5=""""), """", IF(ISNUMBER(MATCH(AV$5, IFERROR(FILTER('MASTER LIST'!$N$2:$AB$294, 'MASTER LIST'!$A$2:$A$294=$A17), """"), 0)), ""Y"", """"))"),"")</f>
        <v/>
      </c>
      <c r="AW17" s="92" t="str">
        <f>IFERROR(__xludf.DUMMYFUNCTION("IF(OR($A17="""", AW$5=""""), """", IF(ISNUMBER(MATCH(AW$5, IFERROR(FILTER('MASTER LIST'!$N$2:$AB$294, 'MASTER LIST'!$A$2:$A$294=$A17), """"), 0)), ""Y"", """"))"),"")</f>
        <v/>
      </c>
      <c r="AX17" s="92" t="str">
        <f>IFERROR(__xludf.DUMMYFUNCTION("IF(OR($A17="""", AX$5=""""), """", IF(ISNUMBER(MATCH(AX$5, IFERROR(FILTER('MASTER LIST'!$N$2:$AB$294, 'MASTER LIST'!$A$2:$A$294=$A17), """"), 0)), ""Y"", """"))"),"")</f>
        <v/>
      </c>
      <c r="AY17" s="92" t="str">
        <f>IFERROR(__xludf.DUMMYFUNCTION("IF(OR($A17="""", AY$5=""""), """", IF(ISNUMBER(MATCH(AY$5, IFERROR(FILTER('MASTER LIST'!$N$2:$AB$294, 'MASTER LIST'!$A$2:$A$294=$A17), """"), 0)), ""Y"", """"))"),"")</f>
        <v/>
      </c>
      <c r="AZ17" s="92" t="str">
        <f>IFERROR(__xludf.DUMMYFUNCTION("IF(OR($A17="""", AZ$5=""""), """", IF(ISNUMBER(MATCH(AZ$5, IFERROR(FILTER('MASTER LIST'!$N$2:$AB$294, 'MASTER LIST'!$A$2:$A$294=$A17), """"), 0)), ""Y"", """"))"),"")</f>
        <v/>
      </c>
      <c r="BA17" s="92" t="str">
        <f>IFERROR(__xludf.DUMMYFUNCTION("IF(OR($A17="""", BA$5=""""), """", IF(ISNUMBER(MATCH(BA$5, IFERROR(FILTER('MASTER LIST'!$N$2:$AB$294, 'MASTER LIST'!$A$2:$A$294=$A17), """"), 0)), ""Y"", """"))"),"")</f>
        <v/>
      </c>
      <c r="BB17" s="92" t="str">
        <f>IFERROR(__xludf.DUMMYFUNCTION("IF(OR($A17="""", BB$5=""""), """", IF(ISNUMBER(MATCH(BB$5, IFERROR(FILTER('MASTER LIST'!$N$2:$AB$294, 'MASTER LIST'!$A$2:$A$294=$A17), """"), 0)), ""Y"", """"))"),"")</f>
        <v/>
      </c>
      <c r="BC17" s="92" t="str">
        <f>IFERROR(__xludf.DUMMYFUNCTION("IF(OR($A17="""", BC$5=""""), """", IF(ISNUMBER(MATCH(BC$5, IFERROR(FILTER('MASTER LIST'!$N$2:$AB$294, 'MASTER LIST'!$A$2:$A$294=$A17), """"), 0)), ""Y"", """"))"),"")</f>
        <v/>
      </c>
      <c r="BD17" s="92" t="str">
        <f>IFERROR(__xludf.DUMMYFUNCTION("IF(OR($A17="""", BD$5=""""), """", IF(ISNUMBER(MATCH(BD$5, IFERROR(FILTER('MASTER LIST'!$N$2:$AB$294, 'MASTER LIST'!$A$2:$A$294=$A17), """"), 0)), ""Y"", """"))"),"")</f>
        <v/>
      </c>
      <c r="BE17" s="92" t="str">
        <f>IFERROR(__xludf.DUMMYFUNCTION("IF(OR($A17="""", BE$5=""""), """", IF(ISNUMBER(MATCH(BE$5, IFERROR(FILTER('MASTER LIST'!$N$2:$AB$294, 'MASTER LIST'!$A$2:$A$294=$A17), """"), 0)), ""Y"", """"))"),"")</f>
        <v/>
      </c>
      <c r="BF17" s="92" t="str">
        <f>IFERROR(__xludf.DUMMYFUNCTION("IF(OR($A17="""", BF$5=""""), """", IF(ISNUMBER(MATCH(BF$5, IFERROR(FILTER('MASTER LIST'!$N$2:$AB$294, 'MASTER LIST'!$A$2:$A$294=$A17), """"), 0)), ""Y"", """"))"),"")</f>
        <v/>
      </c>
      <c r="BG17" s="92" t="str">
        <f>IFERROR(__xludf.DUMMYFUNCTION("IF(OR($A17="""", BG$5=""""), """", IF(ISNUMBER(MATCH(BG$5, IFERROR(FILTER('MASTER LIST'!$N$2:$AB$294, 'MASTER LIST'!$A$2:$A$294=$A17), """"), 0)), ""Y"", """"))"),"")</f>
        <v/>
      </c>
      <c r="BH17" s="92" t="str">
        <f>IFERROR(__xludf.DUMMYFUNCTION("IF(OR($A17="""", BH$5=""""), """", IF(ISNUMBER(MATCH(BH$5, IFERROR(FILTER('MASTER LIST'!$N$2:$AB$294, 'MASTER LIST'!$A$2:$A$294=$A17), """"), 0)), ""Y"", """"))"),"")</f>
        <v/>
      </c>
      <c r="BI17" s="92" t="str">
        <f>IFERROR(__xludf.DUMMYFUNCTION("IF(OR($A17="""", BI$5=""""), """", IF(ISNUMBER(MATCH(BI$5, IFERROR(FILTER('MASTER LIST'!$N$2:$AB$294, 'MASTER LIST'!$A$2:$A$294=$A17), """"), 0)), ""Y"", """"))"),"")</f>
        <v/>
      </c>
      <c r="BJ17" s="92" t="str">
        <f>IFERROR(__xludf.DUMMYFUNCTION("IF(OR($A17="""", BJ$5=""""), """", IF(ISNUMBER(MATCH(BJ$5, IFERROR(FILTER('MASTER LIST'!$N$2:$AB$294, 'MASTER LIST'!$A$2:$A$294=$A17), """"), 0)), ""Y"", """"))"),"")</f>
        <v/>
      </c>
      <c r="BK17" s="92" t="str">
        <f>IFERROR(__xludf.DUMMYFUNCTION("IF(OR($A17="""", BK$5=""""), """", IF(ISNUMBER(MATCH(BK$5, IFERROR(FILTER('MASTER LIST'!$N$2:$AB$294, 'MASTER LIST'!$A$2:$A$294=$A17), """"), 0)), ""Y"", """"))"),"")</f>
        <v/>
      </c>
      <c r="BL17" s="92" t="str">
        <f>IFERROR(__xludf.DUMMYFUNCTION("IF(OR($A17="""", BL$5=""""), """", IF(ISNUMBER(MATCH(BL$5, IFERROR(FILTER('MASTER LIST'!$N$2:$AB$294, 'MASTER LIST'!$A$2:$A$294=$A17), """"), 0)), ""Y"", """"))"),"")</f>
        <v/>
      </c>
      <c r="BM17" s="92" t="str">
        <f>IFERROR(__xludf.DUMMYFUNCTION("IF(OR($A17="""", BM$5=""""), """", IF(ISNUMBER(MATCH(BM$5, IFERROR(FILTER('MASTER LIST'!$N$2:$AB$294, 'MASTER LIST'!$A$2:$A$294=$A17), """"), 0)), ""Y"", """"))"),"")</f>
        <v/>
      </c>
      <c r="BN17" s="92" t="str">
        <f>IFERROR(__xludf.DUMMYFUNCTION("IF(OR($A17="""", BN$5=""""), """", IF(ISNUMBER(MATCH(BN$5, IFERROR(FILTER('MASTER LIST'!$N$2:$AB$294, 'MASTER LIST'!$A$2:$A$294=$A17), """"), 0)), ""Y"", """"))"),"")</f>
        <v/>
      </c>
      <c r="BO17" s="92" t="str">
        <f>IFERROR(__xludf.DUMMYFUNCTION("IF(OR($A17="""", BO$5=""""), """", IF(ISNUMBER(MATCH(BO$5, IFERROR(FILTER('MASTER LIST'!$N$2:$AB$294, 'MASTER LIST'!$A$2:$A$294=$A17), """"), 0)), ""Y"", """"))"),"")</f>
        <v/>
      </c>
      <c r="BP17" s="92" t="str">
        <f>IFERROR(__xludf.DUMMYFUNCTION("IF(OR($A17="""", BP$5=""""), """", IF(ISNUMBER(MATCH(BP$5, IFERROR(FILTER('MASTER LIST'!$N$2:$AB$294, 'MASTER LIST'!$A$2:$A$294=$A17), """"), 0)), ""Y"", """"))"),"")</f>
        <v/>
      </c>
      <c r="BQ17" s="92" t="str">
        <f>IFERROR(__xludf.DUMMYFUNCTION("IF(OR($A17="""", BQ$5=""""), """", IF(ISNUMBER(MATCH(BQ$5, IFERROR(FILTER('MASTER LIST'!$N$2:$AB$294, 'MASTER LIST'!$A$2:$A$294=$A17), """"), 0)), ""Y"", """"))"),"")</f>
        <v/>
      </c>
      <c r="BR17" s="92" t="str">
        <f>IFERROR(__xludf.DUMMYFUNCTION("IF(OR($A17="""", BR$5=""""), """", IF(ISNUMBER(MATCH(BR$5, IFERROR(FILTER('MASTER LIST'!$N$2:$AB$294, 'MASTER LIST'!$A$2:$A$294=$A17), """"), 0)), ""Y"", """"))"),"")</f>
        <v/>
      </c>
      <c r="BS17" s="92" t="str">
        <f>IFERROR(__xludf.DUMMYFUNCTION("IF(OR($A17="""", BS$5=""""), """", IF(ISNUMBER(MATCH(BS$5, IFERROR(FILTER('MASTER LIST'!$N$2:$AB$294, 'MASTER LIST'!$A$2:$A$294=$A17), """"), 0)), ""Y"", """"))"),"")</f>
        <v/>
      </c>
      <c r="BT17" s="92" t="str">
        <f>IFERROR(__xludf.DUMMYFUNCTION("IF(OR($A17="""", BT$5=""""), """", IF(ISNUMBER(MATCH(BT$5, IFERROR(FILTER('MASTER LIST'!$N$2:$AB$294, 'MASTER LIST'!$A$2:$A$294=$A17), """"), 0)), ""Y"", """"))"),"")</f>
        <v/>
      </c>
      <c r="BU17" s="92" t="str">
        <f>IFERROR(__xludf.DUMMYFUNCTION("IF(OR($A17="""", BU$5=""""), """", IF(ISNUMBER(MATCH(BU$5, IFERROR(FILTER('MASTER LIST'!$N$2:$AB$294, 'MASTER LIST'!$A$2:$A$294=$A17), """"), 0)), ""Y"", """"))"),"")</f>
        <v/>
      </c>
      <c r="BV17" s="92" t="str">
        <f>IFERROR(__xludf.DUMMYFUNCTION("IF(OR($A17="""", BV$5=""""), """", IF(ISNUMBER(MATCH(BV$5, IFERROR(FILTER('MASTER LIST'!$N$2:$AB$294, 'MASTER LIST'!$A$2:$A$294=$A17), """"), 0)), ""Y"", """"))"),"")</f>
        <v/>
      </c>
      <c r="BW17" s="92" t="str">
        <f>IFERROR(__xludf.DUMMYFUNCTION("IF(OR($A17="""", BW$5=""""), """", IF(ISNUMBER(MATCH(BW$5, IFERROR(FILTER('MASTER LIST'!$N$2:$AB$294, 'MASTER LIST'!$A$2:$A$294=$A17), """"), 0)), ""Y"", """"))"),"")</f>
        <v/>
      </c>
      <c r="BX17" s="92" t="str">
        <f>IFERROR(__xludf.DUMMYFUNCTION("IF(OR($A17="""", BX$5=""""), """", IF(ISNUMBER(MATCH(BX$5, IFERROR(FILTER('MASTER LIST'!$N$2:$AB$294, 'MASTER LIST'!$A$2:$A$294=$A17), """"), 0)), ""Y"", """"))"),"")</f>
        <v/>
      </c>
      <c r="BY17" s="92" t="str">
        <f>IFERROR(__xludf.DUMMYFUNCTION("IF(OR($A17="""", BY$5=""""), """", IF(ISNUMBER(MATCH(BY$5, IFERROR(FILTER('MASTER LIST'!$N$2:$AB$294, 'MASTER LIST'!$A$2:$A$294=$A17), """"), 0)), ""Y"", """"))"),"")</f>
        <v/>
      </c>
      <c r="BZ17" s="92" t="str">
        <f>IFERROR(__xludf.DUMMYFUNCTION("IF(OR($A17="""", BZ$5=""""), """", IF(ISNUMBER(MATCH(BZ$5, IFERROR(FILTER('MASTER LIST'!$N$2:$AB$294, 'MASTER LIST'!$A$2:$A$294=$A17), """"), 0)), ""Y"", """"))"),"")</f>
        <v/>
      </c>
      <c r="CA17" s="92" t="str">
        <f>IFERROR(__xludf.DUMMYFUNCTION("IF(OR($A17="""", CA$5=""""), """", IF(ISNUMBER(MATCH(CA$5, IFERROR(FILTER('MASTER LIST'!$N$2:$AB$294, 'MASTER LIST'!$A$2:$A$294=$A17), """"), 0)), ""Y"", """"))"),"")</f>
        <v/>
      </c>
      <c r="CB17" s="92" t="str">
        <f>IFERROR(__xludf.DUMMYFUNCTION("IF(OR($A17="""", CB$5=""""), """", IF(ISNUMBER(MATCH(CB$5, IFERROR(FILTER('MASTER LIST'!$N$2:$AB$294, 'MASTER LIST'!$A$2:$A$294=$A17), """"), 0)), ""Y"", """"))"),"")</f>
        <v/>
      </c>
      <c r="CC17" s="92"/>
      <c r="CD17" s="92"/>
      <c r="CE17" s="92"/>
      <c r="CF17" s="92"/>
      <c r="CG17" s="92"/>
      <c r="CH17" s="92"/>
      <c r="CI17" s="92"/>
      <c r="CJ17" s="92"/>
      <c r="CK17" s="92"/>
    </row>
    <row r="18">
      <c r="A18" s="75">
        <f>IFERROR(__xludf.DUMMYFUNCTION("""COMPUTED_VALUE"""),338.0)</f>
        <v>338</v>
      </c>
      <c r="B18" s="75" t="str">
        <f>IFERROR(__xludf.DUMMYFUNCTION("""COMPUTED_VALUE"""),"MUHAMMED HISHAM. T")</f>
        <v>MUHAMMED HISHAM. T</v>
      </c>
      <c r="C18" s="75">
        <f>IFERROR(__xludf.DUMMYFUNCTION("""COMPUTED_VALUE"""),4.0)</f>
        <v>4</v>
      </c>
      <c r="D18" s="75" t="str">
        <f>IFERROR(__xludf.DUMMYFUNCTION("""COMPUTED_VALUE"""),"THĀNIYAH")</f>
        <v>THĀNIYAH</v>
      </c>
      <c r="E18" s="75" t="str">
        <f>IFERROR(__xludf.DUMMYFUNCTION("""COMPUTED_VALUE"""),"TEAM C")</f>
        <v>TEAM C</v>
      </c>
      <c r="F18" s="75" t="str">
        <f>IFERROR(__xludf.DUMMYFUNCTION("""COMPUTED_VALUE"""),"Min 1 Required (Stage &amp; Non-Stage)")</f>
        <v>Min 1 Required (Stage &amp; Non-Stage)</v>
      </c>
      <c r="G18" s="92" t="str">
        <f>IFERROR(__xludf.DUMMYFUNCTION("IF(OR($A18="""", G$5=""""), """", IF(ISNUMBER(MATCH(G$5, IFERROR(FILTER('MASTER LIST'!$N$2:$AB$294, 'MASTER LIST'!$A$2:$A$294=$A18), """"), 0)), ""Y"", """"))"),"")</f>
        <v/>
      </c>
      <c r="H18" s="92" t="str">
        <f>IFERROR(__xludf.DUMMYFUNCTION("IF(OR($A18="""", H$5=""""), """", IF(ISNUMBER(MATCH(H$5, IFERROR(FILTER('MASTER LIST'!$N$2:$AB$294, 'MASTER LIST'!$A$2:$A$294=$A18), """"), 0)), ""Y"", """"))"),"")</f>
        <v/>
      </c>
      <c r="J18" s="92" t="str">
        <f>IFERROR(__xludf.DUMMYFUNCTION("IF(OR($A18="""", J$5=""""), """", IF(ISNUMBER(MATCH(J$5, IFERROR(FILTER('MASTER LIST'!$N$2:$AB$294, 'MASTER LIST'!$A$2:$A$294=$A18), """"), 0)), ""Y"", """"))"),"")</f>
        <v/>
      </c>
      <c r="K18" s="92" t="str">
        <f>IFERROR(__xludf.DUMMYFUNCTION("IF(OR($A18="""", K$5=""""), """", IF(ISNUMBER(MATCH(K$5, IFERROR(FILTER('MASTER LIST'!$N$2:$AB$294, 'MASTER LIST'!$A$2:$A$294=$A18), """"), 0)), ""Y"", """"))"),"")</f>
        <v/>
      </c>
      <c r="L18" s="92" t="str">
        <f>IFERROR(__xludf.DUMMYFUNCTION("IF(OR($A18="""", L$5=""""), """", IF(ISNUMBER(MATCH(L$5, IFERROR(FILTER('MASTER LIST'!$N$2:$AB$294, 'MASTER LIST'!$A$2:$A$294=$A18), """"), 0)), ""Y"", """"))"),"")</f>
        <v/>
      </c>
      <c r="M18" s="92" t="str">
        <f>IFERROR(__xludf.DUMMYFUNCTION("IF(OR($A18="""", M$5=""""), """", IF(ISNUMBER(MATCH(M$5, IFERROR(FILTER('MASTER LIST'!$N$2:$AB$294, 'MASTER LIST'!$A$2:$A$294=$A18), """"), 0)), ""Y"", """"))"),"")</f>
        <v/>
      </c>
      <c r="N18" s="92" t="str">
        <f>IFERROR(__xludf.DUMMYFUNCTION("IF(OR($A18="""", N$5=""""), """", IF(ISNUMBER(MATCH(N$5, IFERROR(FILTER('MASTER LIST'!$N$2:$AB$294, 'MASTER LIST'!$A$2:$A$294=$A18), """"), 0)), ""Y"", """"))"),"")</f>
        <v/>
      </c>
      <c r="O18" s="92" t="str">
        <f>IFERROR(__xludf.DUMMYFUNCTION("IF(OR($A18="""", O$5=""""), """", IF(ISNUMBER(MATCH(O$5, IFERROR(FILTER('MASTER LIST'!$N$2:$AB$294, 'MASTER LIST'!$A$2:$A$294=$A18), """"), 0)), ""Y"", """"))"),"")</f>
        <v/>
      </c>
      <c r="P18" s="92" t="str">
        <f>IFERROR(__xludf.DUMMYFUNCTION("IF(OR($A18="""", P$5=""""), """", IF(ISNUMBER(MATCH(P$5, IFERROR(FILTER('MASTER LIST'!$N$2:$AB$294, 'MASTER LIST'!$A$2:$A$294=$A18), """"), 0)), ""Y"", """"))"),"")</f>
        <v/>
      </c>
      <c r="Q18" s="92" t="str">
        <f>IFERROR(__xludf.DUMMYFUNCTION("IF(OR($A18="""", Q$5=""""), """", IF(ISNUMBER(MATCH(Q$5, IFERROR(FILTER('MASTER LIST'!$N$2:$AB$294, 'MASTER LIST'!$A$2:$A$294=$A18), """"), 0)), ""Y"", """"))"),"")</f>
        <v/>
      </c>
      <c r="R18" s="92" t="str">
        <f>IFERROR(__xludf.DUMMYFUNCTION("IF(OR($A18="""", R$5=""""), """", IF(ISNUMBER(MATCH(R$5, IFERROR(FILTER('MASTER LIST'!$N$2:$AB$294, 'MASTER LIST'!$A$2:$A$294=$A18), """"), 0)), ""Y"", """"))"),"")</f>
        <v/>
      </c>
      <c r="S18" s="92" t="str">
        <f>IFERROR(__xludf.DUMMYFUNCTION("IF(OR($A18="""", S$5=""""), """", IF(ISNUMBER(MATCH(S$5, IFERROR(FILTER('MASTER LIST'!$N$2:$AB$294, 'MASTER LIST'!$A$2:$A$294=$A18), """"), 0)), ""Y"", """"))"),"")</f>
        <v/>
      </c>
      <c r="T18" s="92" t="str">
        <f>IFERROR(__xludf.DUMMYFUNCTION("IF(OR($A18="""", T$5=""""), """", IF(ISNUMBER(MATCH(T$5, IFERROR(FILTER('MASTER LIST'!$N$2:$AB$294, 'MASTER LIST'!$A$2:$A$294=$A18), """"), 0)), ""Y"", """"))"),"")</f>
        <v/>
      </c>
      <c r="U18" s="92" t="str">
        <f>IFERROR(__xludf.DUMMYFUNCTION("IF(OR($A18="""", U$5=""""), """", IF(ISNUMBER(MATCH(U$5, IFERROR(FILTER('MASTER LIST'!$N$2:$AB$294, 'MASTER LIST'!$A$2:$A$294=$A18), """"), 0)), ""Y"", """"))"),"")</f>
        <v/>
      </c>
      <c r="V18" s="92" t="str">
        <f>IFERROR(__xludf.DUMMYFUNCTION("IF(OR($A18="""", V$5=""""), """", IF(ISNUMBER(MATCH(V$5, IFERROR(FILTER('MASTER LIST'!$N$2:$AB$294, 'MASTER LIST'!$A$2:$A$294=$A18), """"), 0)), ""Y"", """"))"),"")</f>
        <v/>
      </c>
      <c r="W18" s="92" t="str">
        <f>IFERROR(__xludf.DUMMYFUNCTION("IF(OR($A18="""", W$5=""""), """", IF(ISNUMBER(MATCH(W$5, IFERROR(FILTER('MASTER LIST'!$N$2:$AB$294, 'MASTER LIST'!$A$2:$A$294=$A18), """"), 0)), ""Y"", """"))"),"")</f>
        <v/>
      </c>
      <c r="X18" s="92" t="str">
        <f>IFERROR(__xludf.DUMMYFUNCTION("IF(OR($A18="""", X$5=""""), """", IF(ISNUMBER(MATCH(X$5, IFERROR(FILTER('MASTER LIST'!$N$2:$AB$294, 'MASTER LIST'!$A$2:$A$294=$A18), """"), 0)), ""Y"", """"))"),"")</f>
        <v/>
      </c>
      <c r="Y18" s="92" t="str">
        <f>IFERROR(__xludf.DUMMYFUNCTION("IF(OR($A18="""", Y$5=""""), """", IF(ISNUMBER(MATCH(Y$5, IFERROR(FILTER('MASTER LIST'!$N$2:$AB$294, 'MASTER LIST'!$A$2:$A$294=$A18), """"), 0)), ""Y"", """"))"),"")</f>
        <v/>
      </c>
      <c r="Z18" s="92" t="str">
        <f>IFERROR(__xludf.DUMMYFUNCTION("IF(OR($A18="""", Z$5=""""), """", IF(ISNUMBER(MATCH(Z$5, IFERROR(FILTER('MASTER LIST'!$N$2:$AB$294, 'MASTER LIST'!$A$2:$A$294=$A18), """"), 0)), ""Y"", """"))"),"")</f>
        <v/>
      </c>
      <c r="AA18" s="92" t="str">
        <f>IFERROR(__xludf.DUMMYFUNCTION("IF(OR($A18="""", AA$5=""""), """", IF(ISNUMBER(MATCH(AA$5, IFERROR(FILTER('MASTER LIST'!$N$2:$AB$294, 'MASTER LIST'!$A$2:$A$294=$A18), """"), 0)), ""Y"", """"))"),"")</f>
        <v/>
      </c>
      <c r="AB18" s="92" t="str">
        <f>IFERROR(__xludf.DUMMYFUNCTION("IF(OR($A18="""", AB$5=""""), """", IF(ISNUMBER(MATCH(AB$5, IFERROR(FILTER('MASTER LIST'!$N$2:$AB$294, 'MASTER LIST'!$A$2:$A$294=$A18), """"), 0)), ""Y"", """"))"),"")</f>
        <v/>
      </c>
      <c r="AC18" s="92" t="str">
        <f>IFERROR(__xludf.DUMMYFUNCTION("IF(OR($A18="""", AC$5=""""), """", IF(ISNUMBER(MATCH(AC$5, IFERROR(FILTER('MASTER LIST'!$N$2:$AB$294, 'MASTER LIST'!$A$2:$A$294=$A18), """"), 0)), ""Y"", """"))"),"")</f>
        <v/>
      </c>
      <c r="AD18" s="92" t="str">
        <f>IFERROR(__xludf.DUMMYFUNCTION("IF(OR($A18="""", AD$5=""""), """", IF(ISNUMBER(MATCH(AD$5, IFERROR(FILTER('MASTER LIST'!$N$2:$AB$294, 'MASTER LIST'!$A$2:$A$294=$A18), """"), 0)), ""Y"", """"))"),"")</f>
        <v/>
      </c>
      <c r="AE18" s="92" t="str">
        <f>IFERROR(__xludf.DUMMYFUNCTION("IF(OR($A18="""", AE$5=""""), """", IF(ISNUMBER(MATCH(AE$5, IFERROR(FILTER('MASTER LIST'!$N$2:$AB$294, 'MASTER LIST'!$A$2:$A$294=$A18), """"), 0)), ""Y"", """"))"),"")</f>
        <v/>
      </c>
      <c r="AF18" s="92" t="str">
        <f>IFERROR(__xludf.DUMMYFUNCTION("IF(OR($A18="""", AF$5=""""), """", IF(ISNUMBER(MATCH(AF$5, IFERROR(FILTER('MASTER LIST'!$N$2:$AB$294, 'MASTER LIST'!$A$2:$A$294=$A18), """"), 0)), ""Y"", """"))"),"")</f>
        <v/>
      </c>
      <c r="AG18" s="92" t="str">
        <f>IFERROR(__xludf.DUMMYFUNCTION("IF(OR($A18="""", AG$5=""""), """", IF(ISNUMBER(MATCH(AG$5, IFERROR(FILTER('MASTER LIST'!$N$2:$AB$294, 'MASTER LIST'!$A$2:$A$294=$A18), """"), 0)), ""Y"", """"))"),"")</f>
        <v/>
      </c>
      <c r="AH18" s="92" t="str">
        <f>IFERROR(__xludf.DUMMYFUNCTION("IF(OR($A18="""", AH$5=""""), """", IF(ISNUMBER(MATCH(AH$5, IFERROR(FILTER('MASTER LIST'!$N$2:$AB$294, 'MASTER LIST'!$A$2:$A$294=$A18), """"), 0)), ""Y"", """"))"),"")</f>
        <v/>
      </c>
      <c r="AI18" s="92" t="str">
        <f>IFERROR(__xludf.DUMMYFUNCTION("IF(OR($A18="""", AI$5=""""), """", IF(ISNUMBER(MATCH(AI$5, IFERROR(FILTER('MASTER LIST'!$N$2:$AB$294, 'MASTER LIST'!$A$2:$A$294=$A18), """"), 0)), ""Y"", """"))"),"")</f>
        <v/>
      </c>
      <c r="AJ18" s="92" t="str">
        <f>IFERROR(__xludf.DUMMYFUNCTION("IF(OR($A18="""", AJ$5=""""), """", IF(ISNUMBER(MATCH(AJ$5, IFERROR(FILTER('MASTER LIST'!$N$2:$AB$294, 'MASTER LIST'!$A$2:$A$294=$A18), """"), 0)), ""Y"", """"))"),"")</f>
        <v/>
      </c>
      <c r="AK18" s="92" t="str">
        <f>IFERROR(__xludf.DUMMYFUNCTION("IF(OR($A18="""", AK$5=""""), """", IF(ISNUMBER(MATCH(AK$5, IFERROR(FILTER('MASTER LIST'!$N$2:$AB$294, 'MASTER LIST'!$A$2:$A$294=$A18), """"), 0)), ""Y"", """"))"),"")</f>
        <v/>
      </c>
      <c r="AL18" s="92" t="str">
        <f>IFERROR(__xludf.DUMMYFUNCTION("IF(OR($A18="""", AL$5=""""), """", IF(ISNUMBER(MATCH(AL$5, IFERROR(FILTER('MASTER LIST'!$N$2:$AB$294, 'MASTER LIST'!$A$2:$A$294=$A18), """"), 0)), ""Y"", """"))"),"")</f>
        <v/>
      </c>
      <c r="AM18" s="92" t="str">
        <f>IFERROR(__xludf.DUMMYFUNCTION("IF(OR($A18="""", AM$5=""""), """", IF(ISNUMBER(MATCH(AM$5, IFERROR(FILTER('MASTER LIST'!$N$2:$AB$294, 'MASTER LIST'!$A$2:$A$294=$A18), """"), 0)), ""Y"", """"))"),"")</f>
        <v/>
      </c>
      <c r="AN18" s="92" t="str">
        <f>IFERROR(__xludf.DUMMYFUNCTION("IF(OR($A18="""", AN$5=""""), """", IF(ISNUMBER(MATCH(AN$5, IFERROR(FILTER('MASTER LIST'!$N$2:$AB$294, 'MASTER LIST'!$A$2:$A$294=$A18), """"), 0)), ""Y"", """"))"),"")</f>
        <v/>
      </c>
      <c r="AO18" s="92" t="str">
        <f>IFERROR(__xludf.DUMMYFUNCTION("IF(OR($A18="""", AO$5=""""), """", IF(ISNUMBER(MATCH(AO$5, IFERROR(FILTER('MASTER LIST'!$N$2:$AB$294, 'MASTER LIST'!$A$2:$A$294=$A18), """"), 0)), ""Y"", """"))"),"")</f>
        <v/>
      </c>
      <c r="AP18" s="92" t="str">
        <f>IFERROR(__xludf.DUMMYFUNCTION("IF(OR($A18="""", AP$5=""""), """", IF(ISNUMBER(MATCH(AP$5, IFERROR(FILTER('MASTER LIST'!$N$2:$AB$294, 'MASTER LIST'!$A$2:$A$294=$A18), """"), 0)), ""Y"", """"))"),"")</f>
        <v/>
      </c>
      <c r="AQ18" s="92" t="str">
        <f>IFERROR(__xludf.DUMMYFUNCTION("IF(OR($A18="""", AQ$5=""""), """", IF(ISNUMBER(MATCH(AQ$5, IFERROR(FILTER('MASTER LIST'!$N$2:$AB$294, 'MASTER LIST'!$A$2:$A$294=$A18), """"), 0)), ""Y"", """"))"),"")</f>
        <v/>
      </c>
      <c r="AR18" s="92" t="str">
        <f>IFERROR(__xludf.DUMMYFUNCTION("IF(OR($A18="""", AR$5=""""), """", IF(ISNUMBER(MATCH(AR$5, IFERROR(FILTER('MASTER LIST'!$N$2:$AB$294, 'MASTER LIST'!$A$2:$A$294=$A18), """"), 0)), ""Y"", """"))"),"")</f>
        <v/>
      </c>
      <c r="AS18" s="92" t="str">
        <f>IFERROR(__xludf.DUMMYFUNCTION("IF(OR($A18="""", AS$5=""""), """", IF(ISNUMBER(MATCH(AS$5, IFERROR(FILTER('MASTER LIST'!$N$2:$AB$294, 'MASTER LIST'!$A$2:$A$294=$A18), """"), 0)), ""Y"", """"))"),"")</f>
        <v/>
      </c>
      <c r="AT18" s="92" t="str">
        <f>IFERROR(__xludf.DUMMYFUNCTION("IF(OR($A18="""", AT$5=""""), """", IF(ISNUMBER(MATCH(AT$5, IFERROR(FILTER('MASTER LIST'!$N$2:$AB$294, 'MASTER LIST'!$A$2:$A$294=$A18), """"), 0)), ""Y"", """"))"),"")</f>
        <v/>
      </c>
      <c r="AU18" s="92" t="str">
        <f>IFERROR(__xludf.DUMMYFUNCTION("IF(OR($A18="""", AU$5=""""), """", IF(ISNUMBER(MATCH(AU$5, IFERROR(FILTER('MASTER LIST'!$N$2:$AB$294, 'MASTER LIST'!$A$2:$A$294=$A18), """"), 0)), ""Y"", """"))"),"")</f>
        <v/>
      </c>
      <c r="AV18" s="92" t="str">
        <f>IFERROR(__xludf.DUMMYFUNCTION("IF(OR($A18="""", AV$5=""""), """", IF(ISNUMBER(MATCH(AV$5, IFERROR(FILTER('MASTER LIST'!$N$2:$AB$294, 'MASTER LIST'!$A$2:$A$294=$A18), """"), 0)), ""Y"", """"))"),"")</f>
        <v/>
      </c>
      <c r="AW18" s="92" t="str">
        <f>IFERROR(__xludf.DUMMYFUNCTION("IF(OR($A18="""", AW$5=""""), """", IF(ISNUMBER(MATCH(AW$5, IFERROR(FILTER('MASTER LIST'!$N$2:$AB$294, 'MASTER LIST'!$A$2:$A$294=$A18), """"), 0)), ""Y"", """"))"),"")</f>
        <v/>
      </c>
      <c r="AX18" s="92" t="str">
        <f>IFERROR(__xludf.DUMMYFUNCTION("IF(OR($A18="""", AX$5=""""), """", IF(ISNUMBER(MATCH(AX$5, IFERROR(FILTER('MASTER LIST'!$N$2:$AB$294, 'MASTER LIST'!$A$2:$A$294=$A18), """"), 0)), ""Y"", """"))"),"")</f>
        <v/>
      </c>
      <c r="AY18" s="92" t="str">
        <f>IFERROR(__xludf.DUMMYFUNCTION("IF(OR($A18="""", AY$5=""""), """", IF(ISNUMBER(MATCH(AY$5, IFERROR(FILTER('MASTER LIST'!$N$2:$AB$294, 'MASTER LIST'!$A$2:$A$294=$A18), """"), 0)), ""Y"", """"))"),"")</f>
        <v/>
      </c>
      <c r="AZ18" s="92" t="str">
        <f>IFERROR(__xludf.DUMMYFUNCTION("IF(OR($A18="""", AZ$5=""""), """", IF(ISNUMBER(MATCH(AZ$5, IFERROR(FILTER('MASTER LIST'!$N$2:$AB$294, 'MASTER LIST'!$A$2:$A$294=$A18), """"), 0)), ""Y"", """"))"),"")</f>
        <v/>
      </c>
      <c r="BA18" s="92" t="str">
        <f>IFERROR(__xludf.DUMMYFUNCTION("IF(OR($A18="""", BA$5=""""), """", IF(ISNUMBER(MATCH(BA$5, IFERROR(FILTER('MASTER LIST'!$N$2:$AB$294, 'MASTER LIST'!$A$2:$A$294=$A18), """"), 0)), ""Y"", """"))"),"")</f>
        <v/>
      </c>
      <c r="BB18" s="92" t="str">
        <f>IFERROR(__xludf.DUMMYFUNCTION("IF(OR($A18="""", BB$5=""""), """", IF(ISNUMBER(MATCH(BB$5, IFERROR(FILTER('MASTER LIST'!$N$2:$AB$294, 'MASTER LIST'!$A$2:$A$294=$A18), """"), 0)), ""Y"", """"))"),"")</f>
        <v/>
      </c>
      <c r="BC18" s="92" t="str">
        <f>IFERROR(__xludf.DUMMYFUNCTION("IF(OR($A18="""", BC$5=""""), """", IF(ISNUMBER(MATCH(BC$5, IFERROR(FILTER('MASTER LIST'!$N$2:$AB$294, 'MASTER LIST'!$A$2:$A$294=$A18), """"), 0)), ""Y"", """"))"),"")</f>
        <v/>
      </c>
      <c r="BD18" s="92" t="str">
        <f>IFERROR(__xludf.DUMMYFUNCTION("IF(OR($A18="""", BD$5=""""), """", IF(ISNUMBER(MATCH(BD$5, IFERROR(FILTER('MASTER LIST'!$N$2:$AB$294, 'MASTER LIST'!$A$2:$A$294=$A18), """"), 0)), ""Y"", """"))"),"")</f>
        <v/>
      </c>
      <c r="BE18" s="92" t="str">
        <f>IFERROR(__xludf.DUMMYFUNCTION("IF(OR($A18="""", BE$5=""""), """", IF(ISNUMBER(MATCH(BE$5, IFERROR(FILTER('MASTER LIST'!$N$2:$AB$294, 'MASTER LIST'!$A$2:$A$294=$A18), """"), 0)), ""Y"", """"))"),"")</f>
        <v/>
      </c>
      <c r="BF18" s="92" t="str">
        <f>IFERROR(__xludf.DUMMYFUNCTION("IF(OR($A18="""", BF$5=""""), """", IF(ISNUMBER(MATCH(BF$5, IFERROR(FILTER('MASTER LIST'!$N$2:$AB$294, 'MASTER LIST'!$A$2:$A$294=$A18), """"), 0)), ""Y"", """"))"),"")</f>
        <v/>
      </c>
      <c r="BG18" s="92" t="str">
        <f>IFERROR(__xludf.DUMMYFUNCTION("IF(OR($A18="""", BG$5=""""), """", IF(ISNUMBER(MATCH(BG$5, IFERROR(FILTER('MASTER LIST'!$N$2:$AB$294, 'MASTER LIST'!$A$2:$A$294=$A18), """"), 0)), ""Y"", """"))"),"")</f>
        <v/>
      </c>
      <c r="BH18" s="92" t="str">
        <f>IFERROR(__xludf.DUMMYFUNCTION("IF(OR($A18="""", BH$5=""""), """", IF(ISNUMBER(MATCH(BH$5, IFERROR(FILTER('MASTER LIST'!$N$2:$AB$294, 'MASTER LIST'!$A$2:$A$294=$A18), """"), 0)), ""Y"", """"))"),"")</f>
        <v/>
      </c>
      <c r="BI18" s="92" t="str">
        <f>IFERROR(__xludf.DUMMYFUNCTION("IF(OR($A18="""", BI$5=""""), """", IF(ISNUMBER(MATCH(BI$5, IFERROR(FILTER('MASTER LIST'!$N$2:$AB$294, 'MASTER LIST'!$A$2:$A$294=$A18), """"), 0)), ""Y"", """"))"),"")</f>
        <v/>
      </c>
      <c r="BJ18" s="92" t="str">
        <f>IFERROR(__xludf.DUMMYFUNCTION("IF(OR($A18="""", BJ$5=""""), """", IF(ISNUMBER(MATCH(BJ$5, IFERROR(FILTER('MASTER LIST'!$N$2:$AB$294, 'MASTER LIST'!$A$2:$A$294=$A18), """"), 0)), ""Y"", """"))"),"")</f>
        <v/>
      </c>
      <c r="BK18" s="92" t="str">
        <f>IFERROR(__xludf.DUMMYFUNCTION("IF(OR($A18="""", BK$5=""""), """", IF(ISNUMBER(MATCH(BK$5, IFERROR(FILTER('MASTER LIST'!$N$2:$AB$294, 'MASTER LIST'!$A$2:$A$294=$A18), """"), 0)), ""Y"", """"))"),"")</f>
        <v/>
      </c>
      <c r="BL18" s="92" t="str">
        <f>IFERROR(__xludf.DUMMYFUNCTION("IF(OR($A18="""", BL$5=""""), """", IF(ISNUMBER(MATCH(BL$5, IFERROR(FILTER('MASTER LIST'!$N$2:$AB$294, 'MASTER LIST'!$A$2:$A$294=$A18), """"), 0)), ""Y"", """"))"),"")</f>
        <v/>
      </c>
      <c r="BM18" s="92" t="str">
        <f>IFERROR(__xludf.DUMMYFUNCTION("IF(OR($A18="""", BM$5=""""), """", IF(ISNUMBER(MATCH(BM$5, IFERROR(FILTER('MASTER LIST'!$N$2:$AB$294, 'MASTER LIST'!$A$2:$A$294=$A18), """"), 0)), ""Y"", """"))"),"")</f>
        <v/>
      </c>
      <c r="BN18" s="92" t="str">
        <f>IFERROR(__xludf.DUMMYFUNCTION("IF(OR($A18="""", BN$5=""""), """", IF(ISNUMBER(MATCH(BN$5, IFERROR(FILTER('MASTER LIST'!$N$2:$AB$294, 'MASTER LIST'!$A$2:$A$294=$A18), """"), 0)), ""Y"", """"))"),"")</f>
        <v/>
      </c>
      <c r="BO18" s="92" t="str">
        <f>IFERROR(__xludf.DUMMYFUNCTION("IF(OR($A18="""", BO$5=""""), """", IF(ISNUMBER(MATCH(BO$5, IFERROR(FILTER('MASTER LIST'!$N$2:$AB$294, 'MASTER LIST'!$A$2:$A$294=$A18), """"), 0)), ""Y"", """"))"),"")</f>
        <v/>
      </c>
      <c r="BP18" s="92" t="str">
        <f>IFERROR(__xludf.DUMMYFUNCTION("IF(OR($A18="""", BP$5=""""), """", IF(ISNUMBER(MATCH(BP$5, IFERROR(FILTER('MASTER LIST'!$N$2:$AB$294, 'MASTER LIST'!$A$2:$A$294=$A18), """"), 0)), ""Y"", """"))"),"")</f>
        <v/>
      </c>
      <c r="BQ18" s="92" t="str">
        <f>IFERROR(__xludf.DUMMYFUNCTION("IF(OR($A18="""", BQ$5=""""), """", IF(ISNUMBER(MATCH(BQ$5, IFERROR(FILTER('MASTER LIST'!$N$2:$AB$294, 'MASTER LIST'!$A$2:$A$294=$A18), """"), 0)), ""Y"", """"))"),"")</f>
        <v/>
      </c>
      <c r="BR18" s="92" t="str">
        <f>IFERROR(__xludf.DUMMYFUNCTION("IF(OR($A18="""", BR$5=""""), """", IF(ISNUMBER(MATCH(BR$5, IFERROR(FILTER('MASTER LIST'!$N$2:$AB$294, 'MASTER LIST'!$A$2:$A$294=$A18), """"), 0)), ""Y"", """"))"),"")</f>
        <v/>
      </c>
      <c r="BS18" s="92" t="str">
        <f>IFERROR(__xludf.DUMMYFUNCTION("IF(OR($A18="""", BS$5=""""), """", IF(ISNUMBER(MATCH(BS$5, IFERROR(FILTER('MASTER LIST'!$N$2:$AB$294, 'MASTER LIST'!$A$2:$A$294=$A18), """"), 0)), ""Y"", """"))"),"")</f>
        <v/>
      </c>
      <c r="BT18" s="92" t="str">
        <f>IFERROR(__xludf.DUMMYFUNCTION("IF(OR($A18="""", BT$5=""""), """", IF(ISNUMBER(MATCH(BT$5, IFERROR(FILTER('MASTER LIST'!$N$2:$AB$294, 'MASTER LIST'!$A$2:$A$294=$A18), """"), 0)), ""Y"", """"))"),"")</f>
        <v/>
      </c>
      <c r="BU18" s="92" t="str">
        <f>IFERROR(__xludf.DUMMYFUNCTION("IF(OR($A18="""", BU$5=""""), """", IF(ISNUMBER(MATCH(BU$5, IFERROR(FILTER('MASTER LIST'!$N$2:$AB$294, 'MASTER LIST'!$A$2:$A$294=$A18), """"), 0)), ""Y"", """"))"),"")</f>
        <v/>
      </c>
      <c r="BV18" s="92" t="str">
        <f>IFERROR(__xludf.DUMMYFUNCTION("IF(OR($A18="""", BV$5=""""), """", IF(ISNUMBER(MATCH(BV$5, IFERROR(FILTER('MASTER LIST'!$N$2:$AB$294, 'MASTER LIST'!$A$2:$A$294=$A18), """"), 0)), ""Y"", """"))"),"")</f>
        <v/>
      </c>
      <c r="BW18" s="92" t="str">
        <f>IFERROR(__xludf.DUMMYFUNCTION("IF(OR($A18="""", BW$5=""""), """", IF(ISNUMBER(MATCH(BW$5, IFERROR(FILTER('MASTER LIST'!$N$2:$AB$294, 'MASTER LIST'!$A$2:$A$294=$A18), """"), 0)), ""Y"", """"))"),"")</f>
        <v/>
      </c>
      <c r="BX18" s="92" t="str">
        <f>IFERROR(__xludf.DUMMYFUNCTION("IF(OR($A18="""", BX$5=""""), """", IF(ISNUMBER(MATCH(BX$5, IFERROR(FILTER('MASTER LIST'!$N$2:$AB$294, 'MASTER LIST'!$A$2:$A$294=$A18), """"), 0)), ""Y"", """"))"),"")</f>
        <v/>
      </c>
      <c r="BY18" s="92" t="str">
        <f>IFERROR(__xludf.DUMMYFUNCTION("IF(OR($A18="""", BY$5=""""), """", IF(ISNUMBER(MATCH(BY$5, IFERROR(FILTER('MASTER LIST'!$N$2:$AB$294, 'MASTER LIST'!$A$2:$A$294=$A18), """"), 0)), ""Y"", """"))"),"")</f>
        <v/>
      </c>
      <c r="BZ18" s="92" t="str">
        <f>IFERROR(__xludf.DUMMYFUNCTION("IF(OR($A18="""", BZ$5=""""), """", IF(ISNUMBER(MATCH(BZ$5, IFERROR(FILTER('MASTER LIST'!$N$2:$AB$294, 'MASTER LIST'!$A$2:$A$294=$A18), """"), 0)), ""Y"", """"))"),"")</f>
        <v/>
      </c>
      <c r="CA18" s="92" t="str">
        <f>IFERROR(__xludf.DUMMYFUNCTION("IF(OR($A18="""", CA$5=""""), """", IF(ISNUMBER(MATCH(CA$5, IFERROR(FILTER('MASTER LIST'!$N$2:$AB$294, 'MASTER LIST'!$A$2:$A$294=$A18), """"), 0)), ""Y"", """"))"),"")</f>
        <v/>
      </c>
      <c r="CB18" s="92" t="str">
        <f>IFERROR(__xludf.DUMMYFUNCTION("IF(OR($A18="""", CB$5=""""), """", IF(ISNUMBER(MATCH(CB$5, IFERROR(FILTER('MASTER LIST'!$N$2:$AB$294, 'MASTER LIST'!$A$2:$A$294=$A18), """"), 0)), ""Y"", """"))"),"")</f>
        <v/>
      </c>
      <c r="CC18" s="92"/>
      <c r="CD18" s="92"/>
      <c r="CE18" s="92"/>
      <c r="CF18" s="92"/>
      <c r="CG18" s="92"/>
      <c r="CH18" s="92"/>
      <c r="CI18" s="92"/>
      <c r="CJ18" s="92"/>
      <c r="CK18" s="92"/>
    </row>
    <row r="19">
      <c r="A19" s="75">
        <f>IFERROR(__xludf.DUMMYFUNCTION("""COMPUTED_VALUE"""),315.0)</f>
        <v>315</v>
      </c>
      <c r="B19" s="75" t="str">
        <f>IFERROR(__xludf.DUMMYFUNCTION("""COMPUTED_VALUE"""),"MUHAMMED MUSTHAFA")</f>
        <v>MUHAMMED MUSTHAFA</v>
      </c>
      <c r="C19" s="75">
        <f>IFERROR(__xludf.DUMMYFUNCTION("""COMPUTED_VALUE"""),4.0)</f>
        <v>4</v>
      </c>
      <c r="D19" s="75" t="str">
        <f>IFERROR(__xludf.DUMMYFUNCTION("""COMPUTED_VALUE"""),"THĀNIYAH")</f>
        <v>THĀNIYAH</v>
      </c>
      <c r="E19" s="75" t="str">
        <f>IFERROR(__xludf.DUMMYFUNCTION("""COMPUTED_VALUE"""),"TEAM C")</f>
        <v>TEAM C</v>
      </c>
      <c r="F19" s="75" t="str">
        <f>IFERROR(__xludf.DUMMYFUNCTION("""COMPUTED_VALUE"""),"Min 1 Required (Stage &amp; Non-Stage)")</f>
        <v>Min 1 Required (Stage &amp; Non-Stage)</v>
      </c>
      <c r="G19" s="91" t="str">
        <f>IFERROR(__xludf.DUMMYFUNCTION("IF(OR($A19="""", G$5=""""), """", IF(ISNUMBER(MATCH(G$5, IFERROR(FILTER('MASTER LIST'!$N$2:$AB$294, 'MASTER LIST'!$A$2:$A$294=$A19), """"), 0)), ""Y"", """"))"),"")</f>
        <v/>
      </c>
      <c r="H19" s="92" t="str">
        <f>IFERROR(__xludf.DUMMYFUNCTION("IF(OR($A19="""", H$5=""""), """", IF(ISNUMBER(MATCH(H$5, IFERROR(FILTER('MASTER LIST'!$N$2:$AB$294, 'MASTER LIST'!$A$2:$A$294=$A19), """"), 0)), ""Y"", """"))"),"")</f>
        <v/>
      </c>
      <c r="J19" s="92" t="str">
        <f>IFERROR(__xludf.DUMMYFUNCTION("IF(OR($A19="""", J$5=""""), """", IF(ISNUMBER(MATCH(J$5, IFERROR(FILTER('MASTER LIST'!$N$2:$AB$294, 'MASTER LIST'!$A$2:$A$294=$A19), """"), 0)), ""Y"", """"))"),"")</f>
        <v/>
      </c>
      <c r="K19" s="92" t="str">
        <f>IFERROR(__xludf.DUMMYFUNCTION("IF(OR($A19="""", K$5=""""), """", IF(ISNUMBER(MATCH(K$5, IFERROR(FILTER('MASTER LIST'!$N$2:$AB$294, 'MASTER LIST'!$A$2:$A$294=$A19), """"), 0)), ""Y"", """"))"),"")</f>
        <v/>
      </c>
      <c r="L19" s="92" t="str">
        <f>IFERROR(__xludf.DUMMYFUNCTION("IF(OR($A19="""", L$5=""""), """", IF(ISNUMBER(MATCH(L$5, IFERROR(FILTER('MASTER LIST'!$N$2:$AB$294, 'MASTER LIST'!$A$2:$A$294=$A19), """"), 0)), ""Y"", """"))"),"")</f>
        <v/>
      </c>
      <c r="M19" s="92" t="str">
        <f>IFERROR(__xludf.DUMMYFUNCTION("IF(OR($A19="""", M$5=""""), """", IF(ISNUMBER(MATCH(M$5, IFERROR(FILTER('MASTER LIST'!$N$2:$AB$294, 'MASTER LIST'!$A$2:$A$294=$A19), """"), 0)), ""Y"", """"))"),"")</f>
        <v/>
      </c>
      <c r="N19" s="92" t="str">
        <f>IFERROR(__xludf.DUMMYFUNCTION("IF(OR($A19="""", N$5=""""), """", IF(ISNUMBER(MATCH(N$5, IFERROR(FILTER('MASTER LIST'!$N$2:$AB$294, 'MASTER LIST'!$A$2:$A$294=$A19), """"), 0)), ""Y"", """"))"),"")</f>
        <v/>
      </c>
      <c r="O19" s="92" t="str">
        <f>IFERROR(__xludf.DUMMYFUNCTION("IF(OR($A19="""", O$5=""""), """", IF(ISNUMBER(MATCH(O$5, IFERROR(FILTER('MASTER LIST'!$N$2:$AB$294, 'MASTER LIST'!$A$2:$A$294=$A19), """"), 0)), ""Y"", """"))"),"")</f>
        <v/>
      </c>
      <c r="P19" s="92" t="str">
        <f>IFERROR(__xludf.DUMMYFUNCTION("IF(OR($A19="""", P$5=""""), """", IF(ISNUMBER(MATCH(P$5, IFERROR(FILTER('MASTER LIST'!$N$2:$AB$294, 'MASTER LIST'!$A$2:$A$294=$A19), """"), 0)), ""Y"", """"))"),"")</f>
        <v/>
      </c>
      <c r="Q19" s="92" t="str">
        <f>IFERROR(__xludf.DUMMYFUNCTION("IF(OR($A19="""", Q$5=""""), """", IF(ISNUMBER(MATCH(Q$5, IFERROR(FILTER('MASTER LIST'!$N$2:$AB$294, 'MASTER LIST'!$A$2:$A$294=$A19), """"), 0)), ""Y"", """"))"),"")</f>
        <v/>
      </c>
      <c r="R19" s="92" t="str">
        <f>IFERROR(__xludf.DUMMYFUNCTION("IF(OR($A19="""", R$5=""""), """", IF(ISNUMBER(MATCH(R$5, IFERROR(FILTER('MASTER LIST'!$N$2:$AB$294, 'MASTER LIST'!$A$2:$A$294=$A19), """"), 0)), ""Y"", """"))"),"")</f>
        <v/>
      </c>
      <c r="S19" s="92" t="str">
        <f>IFERROR(__xludf.DUMMYFUNCTION("IF(OR($A19="""", S$5=""""), """", IF(ISNUMBER(MATCH(S$5, IFERROR(FILTER('MASTER LIST'!$N$2:$AB$294, 'MASTER LIST'!$A$2:$A$294=$A19), """"), 0)), ""Y"", """"))"),"")</f>
        <v/>
      </c>
      <c r="T19" s="92" t="str">
        <f>IFERROR(__xludf.DUMMYFUNCTION("IF(OR($A19="""", T$5=""""), """", IF(ISNUMBER(MATCH(T$5, IFERROR(FILTER('MASTER LIST'!$N$2:$AB$294, 'MASTER LIST'!$A$2:$A$294=$A19), """"), 0)), ""Y"", """"))"),"")</f>
        <v/>
      </c>
      <c r="U19" s="92" t="str">
        <f>IFERROR(__xludf.DUMMYFUNCTION("IF(OR($A19="""", U$5=""""), """", IF(ISNUMBER(MATCH(U$5, IFERROR(FILTER('MASTER LIST'!$N$2:$AB$294, 'MASTER LIST'!$A$2:$A$294=$A19), """"), 0)), ""Y"", """"))"),"")</f>
        <v/>
      </c>
      <c r="V19" s="92" t="str">
        <f>IFERROR(__xludf.DUMMYFUNCTION("IF(OR($A19="""", V$5=""""), """", IF(ISNUMBER(MATCH(V$5, IFERROR(FILTER('MASTER LIST'!$N$2:$AB$294, 'MASTER LIST'!$A$2:$A$294=$A19), """"), 0)), ""Y"", """"))"),"")</f>
        <v/>
      </c>
      <c r="W19" s="92" t="str">
        <f>IFERROR(__xludf.DUMMYFUNCTION("IF(OR($A19="""", W$5=""""), """", IF(ISNUMBER(MATCH(W$5, IFERROR(FILTER('MASTER LIST'!$N$2:$AB$294, 'MASTER LIST'!$A$2:$A$294=$A19), """"), 0)), ""Y"", """"))"),"")</f>
        <v/>
      </c>
      <c r="X19" s="92" t="str">
        <f>IFERROR(__xludf.DUMMYFUNCTION("IF(OR($A19="""", X$5=""""), """", IF(ISNUMBER(MATCH(X$5, IFERROR(FILTER('MASTER LIST'!$N$2:$AB$294, 'MASTER LIST'!$A$2:$A$294=$A19), """"), 0)), ""Y"", """"))"),"")</f>
        <v/>
      </c>
      <c r="Y19" s="92" t="str">
        <f>IFERROR(__xludf.DUMMYFUNCTION("IF(OR($A19="""", Y$5=""""), """", IF(ISNUMBER(MATCH(Y$5, IFERROR(FILTER('MASTER LIST'!$N$2:$AB$294, 'MASTER LIST'!$A$2:$A$294=$A19), """"), 0)), ""Y"", """"))"),"")</f>
        <v/>
      </c>
      <c r="Z19" s="92" t="str">
        <f>IFERROR(__xludf.DUMMYFUNCTION("IF(OR($A19="""", Z$5=""""), """", IF(ISNUMBER(MATCH(Z$5, IFERROR(FILTER('MASTER LIST'!$N$2:$AB$294, 'MASTER LIST'!$A$2:$A$294=$A19), """"), 0)), ""Y"", """"))"),"")</f>
        <v/>
      </c>
      <c r="AA19" s="92" t="str">
        <f>IFERROR(__xludf.DUMMYFUNCTION("IF(OR($A19="""", AA$5=""""), """", IF(ISNUMBER(MATCH(AA$5, IFERROR(FILTER('MASTER LIST'!$N$2:$AB$294, 'MASTER LIST'!$A$2:$A$294=$A19), """"), 0)), ""Y"", """"))"),"")</f>
        <v/>
      </c>
      <c r="AB19" s="92" t="str">
        <f>IFERROR(__xludf.DUMMYFUNCTION("IF(OR($A19="""", AB$5=""""), """", IF(ISNUMBER(MATCH(AB$5, IFERROR(FILTER('MASTER LIST'!$N$2:$AB$294, 'MASTER LIST'!$A$2:$A$294=$A19), """"), 0)), ""Y"", """"))"),"")</f>
        <v/>
      </c>
      <c r="AC19" s="92" t="str">
        <f>IFERROR(__xludf.DUMMYFUNCTION("IF(OR($A19="""", AC$5=""""), """", IF(ISNUMBER(MATCH(AC$5, IFERROR(FILTER('MASTER LIST'!$N$2:$AB$294, 'MASTER LIST'!$A$2:$A$294=$A19), """"), 0)), ""Y"", """"))"),"")</f>
        <v/>
      </c>
      <c r="AD19" s="92" t="str">
        <f>IFERROR(__xludf.DUMMYFUNCTION("IF(OR($A19="""", AD$5=""""), """", IF(ISNUMBER(MATCH(AD$5, IFERROR(FILTER('MASTER LIST'!$N$2:$AB$294, 'MASTER LIST'!$A$2:$A$294=$A19), """"), 0)), ""Y"", """"))"),"")</f>
        <v/>
      </c>
      <c r="AE19" s="92" t="str">
        <f>IFERROR(__xludf.DUMMYFUNCTION("IF(OR($A19="""", AE$5=""""), """", IF(ISNUMBER(MATCH(AE$5, IFERROR(FILTER('MASTER LIST'!$N$2:$AB$294, 'MASTER LIST'!$A$2:$A$294=$A19), """"), 0)), ""Y"", """"))"),"")</f>
        <v/>
      </c>
      <c r="AF19" s="92" t="str">
        <f>IFERROR(__xludf.DUMMYFUNCTION("IF(OR($A19="""", AF$5=""""), """", IF(ISNUMBER(MATCH(AF$5, IFERROR(FILTER('MASTER LIST'!$N$2:$AB$294, 'MASTER LIST'!$A$2:$A$294=$A19), """"), 0)), ""Y"", """"))"),"")</f>
        <v/>
      </c>
      <c r="AG19" s="92" t="str">
        <f>IFERROR(__xludf.DUMMYFUNCTION("IF(OR($A19="""", AG$5=""""), """", IF(ISNUMBER(MATCH(AG$5, IFERROR(FILTER('MASTER LIST'!$N$2:$AB$294, 'MASTER LIST'!$A$2:$A$294=$A19), """"), 0)), ""Y"", """"))"),"")</f>
        <v/>
      </c>
      <c r="AH19" s="92" t="str">
        <f>IFERROR(__xludf.DUMMYFUNCTION("IF(OR($A19="""", AH$5=""""), """", IF(ISNUMBER(MATCH(AH$5, IFERROR(FILTER('MASTER LIST'!$N$2:$AB$294, 'MASTER LIST'!$A$2:$A$294=$A19), """"), 0)), ""Y"", """"))"),"")</f>
        <v/>
      </c>
      <c r="AI19" s="92" t="str">
        <f>IFERROR(__xludf.DUMMYFUNCTION("IF(OR($A19="""", AI$5=""""), """", IF(ISNUMBER(MATCH(AI$5, IFERROR(FILTER('MASTER LIST'!$N$2:$AB$294, 'MASTER LIST'!$A$2:$A$294=$A19), """"), 0)), ""Y"", """"))"),"")</f>
        <v/>
      </c>
      <c r="AJ19" s="92" t="str">
        <f>IFERROR(__xludf.DUMMYFUNCTION("IF(OR($A19="""", AJ$5=""""), """", IF(ISNUMBER(MATCH(AJ$5, IFERROR(FILTER('MASTER LIST'!$N$2:$AB$294, 'MASTER LIST'!$A$2:$A$294=$A19), """"), 0)), ""Y"", """"))"),"")</f>
        <v/>
      </c>
      <c r="AK19" s="92" t="str">
        <f>IFERROR(__xludf.DUMMYFUNCTION("IF(OR($A19="""", AK$5=""""), """", IF(ISNUMBER(MATCH(AK$5, IFERROR(FILTER('MASTER LIST'!$N$2:$AB$294, 'MASTER LIST'!$A$2:$A$294=$A19), """"), 0)), ""Y"", """"))"),"")</f>
        <v/>
      </c>
      <c r="AL19" s="92" t="str">
        <f>IFERROR(__xludf.DUMMYFUNCTION("IF(OR($A19="""", AL$5=""""), """", IF(ISNUMBER(MATCH(AL$5, IFERROR(FILTER('MASTER LIST'!$N$2:$AB$294, 'MASTER LIST'!$A$2:$A$294=$A19), """"), 0)), ""Y"", """"))"),"")</f>
        <v/>
      </c>
      <c r="AM19" s="92" t="str">
        <f>IFERROR(__xludf.DUMMYFUNCTION("IF(OR($A19="""", AM$5=""""), """", IF(ISNUMBER(MATCH(AM$5, IFERROR(FILTER('MASTER LIST'!$N$2:$AB$294, 'MASTER LIST'!$A$2:$A$294=$A19), """"), 0)), ""Y"", """"))"),"")</f>
        <v/>
      </c>
      <c r="AN19" s="92" t="str">
        <f>IFERROR(__xludf.DUMMYFUNCTION("IF(OR($A19="""", AN$5=""""), """", IF(ISNUMBER(MATCH(AN$5, IFERROR(FILTER('MASTER LIST'!$N$2:$AB$294, 'MASTER LIST'!$A$2:$A$294=$A19), """"), 0)), ""Y"", """"))"),"")</f>
        <v/>
      </c>
      <c r="AO19" s="92" t="str">
        <f>IFERROR(__xludf.DUMMYFUNCTION("IF(OR($A19="""", AO$5=""""), """", IF(ISNUMBER(MATCH(AO$5, IFERROR(FILTER('MASTER LIST'!$N$2:$AB$294, 'MASTER LIST'!$A$2:$A$294=$A19), """"), 0)), ""Y"", """"))"),"")</f>
        <v/>
      </c>
      <c r="AP19" s="92" t="str">
        <f>IFERROR(__xludf.DUMMYFUNCTION("IF(OR($A19="""", AP$5=""""), """", IF(ISNUMBER(MATCH(AP$5, IFERROR(FILTER('MASTER LIST'!$N$2:$AB$294, 'MASTER LIST'!$A$2:$A$294=$A19), """"), 0)), ""Y"", """"))"),"")</f>
        <v/>
      </c>
      <c r="AQ19" s="92" t="str">
        <f>IFERROR(__xludf.DUMMYFUNCTION("IF(OR($A19="""", AQ$5=""""), """", IF(ISNUMBER(MATCH(AQ$5, IFERROR(FILTER('MASTER LIST'!$N$2:$AB$294, 'MASTER LIST'!$A$2:$A$294=$A19), """"), 0)), ""Y"", """"))"),"")</f>
        <v/>
      </c>
      <c r="AR19" s="92" t="str">
        <f>IFERROR(__xludf.DUMMYFUNCTION("IF(OR($A19="""", AR$5=""""), """", IF(ISNUMBER(MATCH(AR$5, IFERROR(FILTER('MASTER LIST'!$N$2:$AB$294, 'MASTER LIST'!$A$2:$A$294=$A19), """"), 0)), ""Y"", """"))"),"")</f>
        <v/>
      </c>
      <c r="AS19" s="92" t="str">
        <f>IFERROR(__xludf.DUMMYFUNCTION("IF(OR($A19="""", AS$5=""""), """", IF(ISNUMBER(MATCH(AS$5, IFERROR(FILTER('MASTER LIST'!$N$2:$AB$294, 'MASTER LIST'!$A$2:$A$294=$A19), """"), 0)), ""Y"", """"))"),"")</f>
        <v/>
      </c>
      <c r="AT19" s="92" t="str">
        <f>IFERROR(__xludf.DUMMYFUNCTION("IF(OR($A19="""", AT$5=""""), """", IF(ISNUMBER(MATCH(AT$5, IFERROR(FILTER('MASTER LIST'!$N$2:$AB$294, 'MASTER LIST'!$A$2:$A$294=$A19), """"), 0)), ""Y"", """"))"),"")</f>
        <v/>
      </c>
      <c r="AU19" s="92" t="str">
        <f>IFERROR(__xludf.DUMMYFUNCTION("IF(OR($A19="""", AU$5=""""), """", IF(ISNUMBER(MATCH(AU$5, IFERROR(FILTER('MASTER LIST'!$N$2:$AB$294, 'MASTER LIST'!$A$2:$A$294=$A19), """"), 0)), ""Y"", """"))"),"")</f>
        <v/>
      </c>
      <c r="AV19" s="92" t="str">
        <f>IFERROR(__xludf.DUMMYFUNCTION("IF(OR($A19="""", AV$5=""""), """", IF(ISNUMBER(MATCH(AV$5, IFERROR(FILTER('MASTER LIST'!$N$2:$AB$294, 'MASTER LIST'!$A$2:$A$294=$A19), """"), 0)), ""Y"", """"))"),"")</f>
        <v/>
      </c>
      <c r="AW19" s="92" t="str">
        <f>IFERROR(__xludf.DUMMYFUNCTION("IF(OR($A19="""", AW$5=""""), """", IF(ISNUMBER(MATCH(AW$5, IFERROR(FILTER('MASTER LIST'!$N$2:$AB$294, 'MASTER LIST'!$A$2:$A$294=$A19), """"), 0)), ""Y"", """"))"),"")</f>
        <v/>
      </c>
      <c r="AX19" s="92" t="str">
        <f>IFERROR(__xludf.DUMMYFUNCTION("IF(OR($A19="""", AX$5=""""), """", IF(ISNUMBER(MATCH(AX$5, IFERROR(FILTER('MASTER LIST'!$N$2:$AB$294, 'MASTER LIST'!$A$2:$A$294=$A19), """"), 0)), ""Y"", """"))"),"")</f>
        <v/>
      </c>
      <c r="AY19" s="92" t="str">
        <f>IFERROR(__xludf.DUMMYFUNCTION("IF(OR($A19="""", AY$5=""""), """", IF(ISNUMBER(MATCH(AY$5, IFERROR(FILTER('MASTER LIST'!$N$2:$AB$294, 'MASTER LIST'!$A$2:$A$294=$A19), """"), 0)), ""Y"", """"))"),"")</f>
        <v/>
      </c>
      <c r="AZ19" s="92" t="str">
        <f>IFERROR(__xludf.DUMMYFUNCTION("IF(OR($A19="""", AZ$5=""""), """", IF(ISNUMBER(MATCH(AZ$5, IFERROR(FILTER('MASTER LIST'!$N$2:$AB$294, 'MASTER LIST'!$A$2:$A$294=$A19), """"), 0)), ""Y"", """"))"),"")</f>
        <v/>
      </c>
      <c r="BA19" s="92" t="str">
        <f>IFERROR(__xludf.DUMMYFUNCTION("IF(OR($A19="""", BA$5=""""), """", IF(ISNUMBER(MATCH(BA$5, IFERROR(FILTER('MASTER LIST'!$N$2:$AB$294, 'MASTER LIST'!$A$2:$A$294=$A19), """"), 0)), ""Y"", """"))"),"")</f>
        <v/>
      </c>
      <c r="BB19" s="92" t="str">
        <f>IFERROR(__xludf.DUMMYFUNCTION("IF(OR($A19="""", BB$5=""""), """", IF(ISNUMBER(MATCH(BB$5, IFERROR(FILTER('MASTER LIST'!$N$2:$AB$294, 'MASTER LIST'!$A$2:$A$294=$A19), """"), 0)), ""Y"", """"))"),"")</f>
        <v/>
      </c>
      <c r="BC19" s="92" t="str">
        <f>IFERROR(__xludf.DUMMYFUNCTION("IF(OR($A19="""", BC$5=""""), """", IF(ISNUMBER(MATCH(BC$5, IFERROR(FILTER('MASTER LIST'!$N$2:$AB$294, 'MASTER LIST'!$A$2:$A$294=$A19), """"), 0)), ""Y"", """"))"),"")</f>
        <v/>
      </c>
      <c r="BD19" s="92" t="str">
        <f>IFERROR(__xludf.DUMMYFUNCTION("IF(OR($A19="""", BD$5=""""), """", IF(ISNUMBER(MATCH(BD$5, IFERROR(FILTER('MASTER LIST'!$N$2:$AB$294, 'MASTER LIST'!$A$2:$A$294=$A19), """"), 0)), ""Y"", """"))"),"")</f>
        <v/>
      </c>
      <c r="BE19" s="92" t="str">
        <f>IFERROR(__xludf.DUMMYFUNCTION("IF(OR($A19="""", BE$5=""""), """", IF(ISNUMBER(MATCH(BE$5, IFERROR(FILTER('MASTER LIST'!$N$2:$AB$294, 'MASTER LIST'!$A$2:$A$294=$A19), """"), 0)), ""Y"", """"))"),"")</f>
        <v/>
      </c>
      <c r="BF19" s="92" t="str">
        <f>IFERROR(__xludf.DUMMYFUNCTION("IF(OR($A19="""", BF$5=""""), """", IF(ISNUMBER(MATCH(BF$5, IFERROR(FILTER('MASTER LIST'!$N$2:$AB$294, 'MASTER LIST'!$A$2:$A$294=$A19), """"), 0)), ""Y"", """"))"),"")</f>
        <v/>
      </c>
      <c r="BG19" s="92" t="str">
        <f>IFERROR(__xludf.DUMMYFUNCTION("IF(OR($A19="""", BG$5=""""), """", IF(ISNUMBER(MATCH(BG$5, IFERROR(FILTER('MASTER LIST'!$N$2:$AB$294, 'MASTER LIST'!$A$2:$A$294=$A19), """"), 0)), ""Y"", """"))"),"")</f>
        <v/>
      </c>
      <c r="BH19" s="92" t="str">
        <f>IFERROR(__xludf.DUMMYFUNCTION("IF(OR($A19="""", BH$5=""""), """", IF(ISNUMBER(MATCH(BH$5, IFERROR(FILTER('MASTER LIST'!$N$2:$AB$294, 'MASTER LIST'!$A$2:$A$294=$A19), """"), 0)), ""Y"", """"))"),"")</f>
        <v/>
      </c>
      <c r="BI19" s="92" t="str">
        <f>IFERROR(__xludf.DUMMYFUNCTION("IF(OR($A19="""", BI$5=""""), """", IF(ISNUMBER(MATCH(BI$5, IFERROR(FILTER('MASTER LIST'!$N$2:$AB$294, 'MASTER LIST'!$A$2:$A$294=$A19), """"), 0)), ""Y"", """"))"),"")</f>
        <v/>
      </c>
      <c r="BJ19" s="92" t="str">
        <f>IFERROR(__xludf.DUMMYFUNCTION("IF(OR($A19="""", BJ$5=""""), """", IF(ISNUMBER(MATCH(BJ$5, IFERROR(FILTER('MASTER LIST'!$N$2:$AB$294, 'MASTER LIST'!$A$2:$A$294=$A19), """"), 0)), ""Y"", """"))"),"")</f>
        <v/>
      </c>
      <c r="BK19" s="92" t="str">
        <f>IFERROR(__xludf.DUMMYFUNCTION("IF(OR($A19="""", BK$5=""""), """", IF(ISNUMBER(MATCH(BK$5, IFERROR(FILTER('MASTER LIST'!$N$2:$AB$294, 'MASTER LIST'!$A$2:$A$294=$A19), """"), 0)), ""Y"", """"))"),"")</f>
        <v/>
      </c>
      <c r="BL19" s="92" t="str">
        <f>IFERROR(__xludf.DUMMYFUNCTION("IF(OR($A19="""", BL$5=""""), """", IF(ISNUMBER(MATCH(BL$5, IFERROR(FILTER('MASTER LIST'!$N$2:$AB$294, 'MASTER LIST'!$A$2:$A$294=$A19), """"), 0)), ""Y"", """"))"),"")</f>
        <v/>
      </c>
      <c r="BM19" s="92" t="str">
        <f>IFERROR(__xludf.DUMMYFUNCTION("IF(OR($A19="""", BM$5=""""), """", IF(ISNUMBER(MATCH(BM$5, IFERROR(FILTER('MASTER LIST'!$N$2:$AB$294, 'MASTER LIST'!$A$2:$A$294=$A19), """"), 0)), ""Y"", """"))"),"")</f>
        <v/>
      </c>
      <c r="BN19" s="92" t="str">
        <f>IFERROR(__xludf.DUMMYFUNCTION("IF(OR($A19="""", BN$5=""""), """", IF(ISNUMBER(MATCH(BN$5, IFERROR(FILTER('MASTER LIST'!$N$2:$AB$294, 'MASTER LIST'!$A$2:$A$294=$A19), """"), 0)), ""Y"", """"))"),"")</f>
        <v/>
      </c>
      <c r="BO19" s="92" t="str">
        <f>IFERROR(__xludf.DUMMYFUNCTION("IF(OR($A19="""", BO$5=""""), """", IF(ISNUMBER(MATCH(BO$5, IFERROR(FILTER('MASTER LIST'!$N$2:$AB$294, 'MASTER LIST'!$A$2:$A$294=$A19), """"), 0)), ""Y"", """"))"),"")</f>
        <v/>
      </c>
      <c r="BP19" s="92" t="str">
        <f>IFERROR(__xludf.DUMMYFUNCTION("IF(OR($A19="""", BP$5=""""), """", IF(ISNUMBER(MATCH(BP$5, IFERROR(FILTER('MASTER LIST'!$N$2:$AB$294, 'MASTER LIST'!$A$2:$A$294=$A19), """"), 0)), ""Y"", """"))"),"")</f>
        <v/>
      </c>
      <c r="BQ19" s="92" t="str">
        <f>IFERROR(__xludf.DUMMYFUNCTION("IF(OR($A19="""", BQ$5=""""), """", IF(ISNUMBER(MATCH(BQ$5, IFERROR(FILTER('MASTER LIST'!$N$2:$AB$294, 'MASTER LIST'!$A$2:$A$294=$A19), """"), 0)), ""Y"", """"))"),"")</f>
        <v/>
      </c>
      <c r="BR19" s="92" t="str">
        <f>IFERROR(__xludf.DUMMYFUNCTION("IF(OR($A19="""", BR$5=""""), """", IF(ISNUMBER(MATCH(BR$5, IFERROR(FILTER('MASTER LIST'!$N$2:$AB$294, 'MASTER LIST'!$A$2:$A$294=$A19), """"), 0)), ""Y"", """"))"),"")</f>
        <v/>
      </c>
      <c r="BS19" s="92" t="str">
        <f>IFERROR(__xludf.DUMMYFUNCTION("IF(OR($A19="""", BS$5=""""), """", IF(ISNUMBER(MATCH(BS$5, IFERROR(FILTER('MASTER LIST'!$N$2:$AB$294, 'MASTER LIST'!$A$2:$A$294=$A19), """"), 0)), ""Y"", """"))"),"")</f>
        <v/>
      </c>
      <c r="BT19" s="92" t="str">
        <f>IFERROR(__xludf.DUMMYFUNCTION("IF(OR($A19="""", BT$5=""""), """", IF(ISNUMBER(MATCH(BT$5, IFERROR(FILTER('MASTER LIST'!$N$2:$AB$294, 'MASTER LIST'!$A$2:$A$294=$A19), """"), 0)), ""Y"", """"))"),"")</f>
        <v/>
      </c>
      <c r="BU19" s="92" t="str">
        <f>IFERROR(__xludf.DUMMYFUNCTION("IF(OR($A19="""", BU$5=""""), """", IF(ISNUMBER(MATCH(BU$5, IFERROR(FILTER('MASTER LIST'!$N$2:$AB$294, 'MASTER LIST'!$A$2:$A$294=$A19), """"), 0)), ""Y"", """"))"),"")</f>
        <v/>
      </c>
      <c r="BV19" s="92" t="str">
        <f>IFERROR(__xludf.DUMMYFUNCTION("IF(OR($A19="""", BV$5=""""), """", IF(ISNUMBER(MATCH(BV$5, IFERROR(FILTER('MASTER LIST'!$N$2:$AB$294, 'MASTER LIST'!$A$2:$A$294=$A19), """"), 0)), ""Y"", """"))"),"")</f>
        <v/>
      </c>
      <c r="BW19" s="92" t="str">
        <f>IFERROR(__xludf.DUMMYFUNCTION("IF(OR($A19="""", BW$5=""""), """", IF(ISNUMBER(MATCH(BW$5, IFERROR(FILTER('MASTER LIST'!$N$2:$AB$294, 'MASTER LIST'!$A$2:$A$294=$A19), """"), 0)), ""Y"", """"))"),"")</f>
        <v/>
      </c>
      <c r="BX19" s="92" t="str">
        <f>IFERROR(__xludf.DUMMYFUNCTION("IF(OR($A19="""", BX$5=""""), """", IF(ISNUMBER(MATCH(BX$5, IFERROR(FILTER('MASTER LIST'!$N$2:$AB$294, 'MASTER LIST'!$A$2:$A$294=$A19), """"), 0)), ""Y"", """"))"),"")</f>
        <v/>
      </c>
      <c r="BY19" s="92" t="str">
        <f>IFERROR(__xludf.DUMMYFUNCTION("IF(OR($A19="""", BY$5=""""), """", IF(ISNUMBER(MATCH(BY$5, IFERROR(FILTER('MASTER LIST'!$N$2:$AB$294, 'MASTER LIST'!$A$2:$A$294=$A19), """"), 0)), ""Y"", """"))"),"")</f>
        <v/>
      </c>
      <c r="BZ19" s="92" t="str">
        <f>IFERROR(__xludf.DUMMYFUNCTION("IF(OR($A19="""", BZ$5=""""), """", IF(ISNUMBER(MATCH(BZ$5, IFERROR(FILTER('MASTER LIST'!$N$2:$AB$294, 'MASTER LIST'!$A$2:$A$294=$A19), """"), 0)), ""Y"", """"))"),"")</f>
        <v/>
      </c>
      <c r="CA19" s="92" t="str">
        <f>IFERROR(__xludf.DUMMYFUNCTION("IF(OR($A19="""", CA$5=""""), """", IF(ISNUMBER(MATCH(CA$5, IFERROR(FILTER('MASTER LIST'!$N$2:$AB$294, 'MASTER LIST'!$A$2:$A$294=$A19), """"), 0)), ""Y"", """"))"),"")</f>
        <v/>
      </c>
      <c r="CB19" s="92" t="str">
        <f>IFERROR(__xludf.DUMMYFUNCTION("IF(OR($A19="""", CB$5=""""), """", IF(ISNUMBER(MATCH(CB$5, IFERROR(FILTER('MASTER LIST'!$N$2:$AB$294, 'MASTER LIST'!$A$2:$A$294=$A19), """"), 0)), ""Y"", """"))"),"")</f>
        <v/>
      </c>
      <c r="CC19" s="92"/>
      <c r="CD19" s="92"/>
      <c r="CE19" s="92"/>
      <c r="CF19" s="92"/>
      <c r="CG19" s="92"/>
      <c r="CH19" s="92"/>
      <c r="CI19" s="92"/>
      <c r="CJ19" s="92"/>
      <c r="CK19" s="92"/>
    </row>
    <row r="20">
      <c r="A20" s="75">
        <f>IFERROR(__xludf.DUMMYFUNCTION("""COMPUTED_VALUE"""),321.0)</f>
        <v>321</v>
      </c>
      <c r="B20" s="75" t="str">
        <f>IFERROR(__xludf.DUMMYFUNCTION("""COMPUTED_VALUE"""),"MUHAMMED MINHAL A K")</f>
        <v>MUHAMMED MINHAL A K</v>
      </c>
      <c r="C20" s="75">
        <f>IFERROR(__xludf.DUMMYFUNCTION("""COMPUTED_VALUE"""),4.0)</f>
        <v>4</v>
      </c>
      <c r="D20" s="75" t="str">
        <f>IFERROR(__xludf.DUMMYFUNCTION("""COMPUTED_VALUE"""),"THĀNIYAH")</f>
        <v>THĀNIYAH</v>
      </c>
      <c r="E20" s="75" t="str">
        <f>IFERROR(__xludf.DUMMYFUNCTION("""COMPUTED_VALUE"""),"TEAM C")</f>
        <v>TEAM C</v>
      </c>
      <c r="F20" s="75" t="str">
        <f>IFERROR(__xludf.DUMMYFUNCTION("""COMPUTED_VALUE"""),"Min 1 Required (Stage &amp; Non-Stage)")</f>
        <v>Min 1 Required (Stage &amp; Non-Stage)</v>
      </c>
      <c r="G20" s="92" t="str">
        <f>IFERROR(__xludf.DUMMYFUNCTION("IF(OR($A20="""", G$5=""""), """", IF(ISNUMBER(MATCH(G$5, IFERROR(FILTER('MASTER LIST'!$N$2:$AB$294, 'MASTER LIST'!$A$2:$A$294=$A20), """"), 0)), ""Y"", """"))"),"")</f>
        <v/>
      </c>
      <c r="H20" s="92" t="str">
        <f>IFERROR(__xludf.DUMMYFUNCTION("IF(OR($A20="""", H$5=""""), """", IF(ISNUMBER(MATCH(H$5, IFERROR(FILTER('MASTER LIST'!$N$2:$AB$294, 'MASTER LIST'!$A$2:$A$294=$A20), """"), 0)), ""Y"", """"))"),"")</f>
        <v/>
      </c>
      <c r="J20" s="92" t="str">
        <f>IFERROR(__xludf.DUMMYFUNCTION("IF(OR($A20="""", J$5=""""), """", IF(ISNUMBER(MATCH(J$5, IFERROR(FILTER('MASTER LIST'!$N$2:$AB$294, 'MASTER LIST'!$A$2:$A$294=$A20), """"), 0)), ""Y"", """"))"),"")</f>
        <v/>
      </c>
      <c r="K20" s="92" t="str">
        <f>IFERROR(__xludf.DUMMYFUNCTION("IF(OR($A20="""", K$5=""""), """", IF(ISNUMBER(MATCH(K$5, IFERROR(FILTER('MASTER LIST'!$N$2:$AB$294, 'MASTER LIST'!$A$2:$A$294=$A20), """"), 0)), ""Y"", """"))"),"")</f>
        <v/>
      </c>
      <c r="L20" s="92" t="str">
        <f>IFERROR(__xludf.DUMMYFUNCTION("IF(OR($A20="""", L$5=""""), """", IF(ISNUMBER(MATCH(L$5, IFERROR(FILTER('MASTER LIST'!$N$2:$AB$294, 'MASTER LIST'!$A$2:$A$294=$A20), """"), 0)), ""Y"", """"))"),"")</f>
        <v/>
      </c>
      <c r="M20" s="92" t="str">
        <f>IFERROR(__xludf.DUMMYFUNCTION("IF(OR($A20="""", M$5=""""), """", IF(ISNUMBER(MATCH(M$5, IFERROR(FILTER('MASTER LIST'!$N$2:$AB$294, 'MASTER LIST'!$A$2:$A$294=$A20), """"), 0)), ""Y"", """"))"),"")</f>
        <v/>
      </c>
      <c r="N20" s="92" t="str">
        <f>IFERROR(__xludf.DUMMYFUNCTION("IF(OR($A20="""", N$5=""""), """", IF(ISNUMBER(MATCH(N$5, IFERROR(FILTER('MASTER LIST'!$N$2:$AB$294, 'MASTER LIST'!$A$2:$A$294=$A20), """"), 0)), ""Y"", """"))"),"")</f>
        <v/>
      </c>
      <c r="O20" s="92" t="str">
        <f>IFERROR(__xludf.DUMMYFUNCTION("IF(OR($A20="""", O$5=""""), """", IF(ISNUMBER(MATCH(O$5, IFERROR(FILTER('MASTER LIST'!$N$2:$AB$294, 'MASTER LIST'!$A$2:$A$294=$A20), """"), 0)), ""Y"", """"))"),"")</f>
        <v/>
      </c>
      <c r="P20" s="92" t="str">
        <f>IFERROR(__xludf.DUMMYFUNCTION("IF(OR($A20="""", P$5=""""), """", IF(ISNUMBER(MATCH(P$5, IFERROR(FILTER('MASTER LIST'!$N$2:$AB$294, 'MASTER LIST'!$A$2:$A$294=$A20), """"), 0)), ""Y"", """"))"),"")</f>
        <v/>
      </c>
      <c r="Q20" s="92" t="str">
        <f>IFERROR(__xludf.DUMMYFUNCTION("IF(OR($A20="""", Q$5=""""), """", IF(ISNUMBER(MATCH(Q$5, IFERROR(FILTER('MASTER LIST'!$N$2:$AB$294, 'MASTER LIST'!$A$2:$A$294=$A20), """"), 0)), ""Y"", """"))"),"")</f>
        <v/>
      </c>
      <c r="R20" s="92" t="str">
        <f>IFERROR(__xludf.DUMMYFUNCTION("IF(OR($A20="""", R$5=""""), """", IF(ISNUMBER(MATCH(R$5, IFERROR(FILTER('MASTER LIST'!$N$2:$AB$294, 'MASTER LIST'!$A$2:$A$294=$A20), """"), 0)), ""Y"", """"))"),"")</f>
        <v/>
      </c>
      <c r="S20" s="92" t="str">
        <f>IFERROR(__xludf.DUMMYFUNCTION("IF(OR($A20="""", S$5=""""), """", IF(ISNUMBER(MATCH(S$5, IFERROR(FILTER('MASTER LIST'!$N$2:$AB$294, 'MASTER LIST'!$A$2:$A$294=$A20), """"), 0)), ""Y"", """"))"),"")</f>
        <v/>
      </c>
      <c r="T20" s="92" t="str">
        <f>IFERROR(__xludf.DUMMYFUNCTION("IF(OR($A20="""", T$5=""""), """", IF(ISNUMBER(MATCH(T$5, IFERROR(FILTER('MASTER LIST'!$N$2:$AB$294, 'MASTER LIST'!$A$2:$A$294=$A20), """"), 0)), ""Y"", """"))"),"")</f>
        <v/>
      </c>
      <c r="U20" s="92" t="str">
        <f>IFERROR(__xludf.DUMMYFUNCTION("IF(OR($A20="""", U$5=""""), """", IF(ISNUMBER(MATCH(U$5, IFERROR(FILTER('MASTER LIST'!$N$2:$AB$294, 'MASTER LIST'!$A$2:$A$294=$A20), """"), 0)), ""Y"", """"))"),"")</f>
        <v/>
      </c>
      <c r="V20" s="92" t="str">
        <f>IFERROR(__xludf.DUMMYFUNCTION("IF(OR($A20="""", V$5=""""), """", IF(ISNUMBER(MATCH(V$5, IFERROR(FILTER('MASTER LIST'!$N$2:$AB$294, 'MASTER LIST'!$A$2:$A$294=$A20), """"), 0)), ""Y"", """"))"),"")</f>
        <v/>
      </c>
      <c r="W20" s="92" t="str">
        <f>IFERROR(__xludf.DUMMYFUNCTION("IF(OR($A20="""", W$5=""""), """", IF(ISNUMBER(MATCH(W$5, IFERROR(FILTER('MASTER LIST'!$N$2:$AB$294, 'MASTER LIST'!$A$2:$A$294=$A20), """"), 0)), ""Y"", """"))"),"")</f>
        <v/>
      </c>
      <c r="X20" s="92" t="str">
        <f>IFERROR(__xludf.DUMMYFUNCTION("IF(OR($A20="""", X$5=""""), """", IF(ISNUMBER(MATCH(X$5, IFERROR(FILTER('MASTER LIST'!$N$2:$AB$294, 'MASTER LIST'!$A$2:$A$294=$A20), """"), 0)), ""Y"", """"))"),"")</f>
        <v/>
      </c>
      <c r="Y20" s="92" t="str">
        <f>IFERROR(__xludf.DUMMYFUNCTION("IF(OR($A20="""", Y$5=""""), """", IF(ISNUMBER(MATCH(Y$5, IFERROR(FILTER('MASTER LIST'!$N$2:$AB$294, 'MASTER LIST'!$A$2:$A$294=$A20), """"), 0)), ""Y"", """"))"),"")</f>
        <v/>
      </c>
      <c r="Z20" s="92" t="str">
        <f>IFERROR(__xludf.DUMMYFUNCTION("IF(OR($A20="""", Z$5=""""), """", IF(ISNUMBER(MATCH(Z$5, IFERROR(FILTER('MASTER LIST'!$N$2:$AB$294, 'MASTER LIST'!$A$2:$A$294=$A20), """"), 0)), ""Y"", """"))"),"")</f>
        <v/>
      </c>
      <c r="AA20" s="92" t="str">
        <f>IFERROR(__xludf.DUMMYFUNCTION("IF(OR($A20="""", AA$5=""""), """", IF(ISNUMBER(MATCH(AA$5, IFERROR(FILTER('MASTER LIST'!$N$2:$AB$294, 'MASTER LIST'!$A$2:$A$294=$A20), """"), 0)), ""Y"", """"))"),"")</f>
        <v/>
      </c>
      <c r="AB20" s="92" t="str">
        <f>IFERROR(__xludf.DUMMYFUNCTION("IF(OR($A20="""", AB$5=""""), """", IF(ISNUMBER(MATCH(AB$5, IFERROR(FILTER('MASTER LIST'!$N$2:$AB$294, 'MASTER LIST'!$A$2:$A$294=$A20), """"), 0)), ""Y"", """"))"),"")</f>
        <v/>
      </c>
      <c r="AC20" s="92" t="str">
        <f>IFERROR(__xludf.DUMMYFUNCTION("IF(OR($A20="""", AC$5=""""), """", IF(ISNUMBER(MATCH(AC$5, IFERROR(FILTER('MASTER LIST'!$N$2:$AB$294, 'MASTER LIST'!$A$2:$A$294=$A20), """"), 0)), ""Y"", """"))"),"")</f>
        <v/>
      </c>
      <c r="AD20" s="92" t="str">
        <f>IFERROR(__xludf.DUMMYFUNCTION("IF(OR($A20="""", AD$5=""""), """", IF(ISNUMBER(MATCH(AD$5, IFERROR(FILTER('MASTER LIST'!$N$2:$AB$294, 'MASTER LIST'!$A$2:$A$294=$A20), """"), 0)), ""Y"", """"))"),"")</f>
        <v/>
      </c>
      <c r="AE20" s="92" t="str">
        <f>IFERROR(__xludf.DUMMYFUNCTION("IF(OR($A20="""", AE$5=""""), """", IF(ISNUMBER(MATCH(AE$5, IFERROR(FILTER('MASTER LIST'!$N$2:$AB$294, 'MASTER LIST'!$A$2:$A$294=$A20), """"), 0)), ""Y"", """"))"),"")</f>
        <v/>
      </c>
      <c r="AF20" s="92" t="str">
        <f>IFERROR(__xludf.DUMMYFUNCTION("IF(OR($A20="""", AF$5=""""), """", IF(ISNUMBER(MATCH(AF$5, IFERROR(FILTER('MASTER LIST'!$N$2:$AB$294, 'MASTER LIST'!$A$2:$A$294=$A20), """"), 0)), ""Y"", """"))"),"")</f>
        <v/>
      </c>
      <c r="AG20" s="92" t="str">
        <f>IFERROR(__xludf.DUMMYFUNCTION("IF(OR($A20="""", AG$5=""""), """", IF(ISNUMBER(MATCH(AG$5, IFERROR(FILTER('MASTER LIST'!$N$2:$AB$294, 'MASTER LIST'!$A$2:$A$294=$A20), """"), 0)), ""Y"", """"))"),"")</f>
        <v/>
      </c>
      <c r="AH20" s="92" t="str">
        <f>IFERROR(__xludf.DUMMYFUNCTION("IF(OR($A20="""", AH$5=""""), """", IF(ISNUMBER(MATCH(AH$5, IFERROR(FILTER('MASTER LIST'!$N$2:$AB$294, 'MASTER LIST'!$A$2:$A$294=$A20), """"), 0)), ""Y"", """"))"),"")</f>
        <v/>
      </c>
      <c r="AI20" s="92" t="str">
        <f>IFERROR(__xludf.DUMMYFUNCTION("IF(OR($A20="""", AI$5=""""), """", IF(ISNUMBER(MATCH(AI$5, IFERROR(FILTER('MASTER LIST'!$N$2:$AB$294, 'MASTER LIST'!$A$2:$A$294=$A20), """"), 0)), ""Y"", """"))"),"")</f>
        <v/>
      </c>
      <c r="AJ20" s="92" t="str">
        <f>IFERROR(__xludf.DUMMYFUNCTION("IF(OR($A20="""", AJ$5=""""), """", IF(ISNUMBER(MATCH(AJ$5, IFERROR(FILTER('MASTER LIST'!$N$2:$AB$294, 'MASTER LIST'!$A$2:$A$294=$A20), """"), 0)), ""Y"", """"))"),"")</f>
        <v/>
      </c>
      <c r="AK20" s="92" t="str">
        <f>IFERROR(__xludf.DUMMYFUNCTION("IF(OR($A20="""", AK$5=""""), """", IF(ISNUMBER(MATCH(AK$5, IFERROR(FILTER('MASTER LIST'!$N$2:$AB$294, 'MASTER LIST'!$A$2:$A$294=$A20), """"), 0)), ""Y"", """"))"),"")</f>
        <v/>
      </c>
      <c r="AL20" s="92" t="str">
        <f>IFERROR(__xludf.DUMMYFUNCTION("IF(OR($A20="""", AL$5=""""), """", IF(ISNUMBER(MATCH(AL$5, IFERROR(FILTER('MASTER LIST'!$N$2:$AB$294, 'MASTER LIST'!$A$2:$A$294=$A20), """"), 0)), ""Y"", """"))"),"")</f>
        <v/>
      </c>
      <c r="AM20" s="92" t="str">
        <f>IFERROR(__xludf.DUMMYFUNCTION("IF(OR($A20="""", AM$5=""""), """", IF(ISNUMBER(MATCH(AM$5, IFERROR(FILTER('MASTER LIST'!$N$2:$AB$294, 'MASTER LIST'!$A$2:$A$294=$A20), """"), 0)), ""Y"", """"))"),"")</f>
        <v/>
      </c>
      <c r="AN20" s="92" t="str">
        <f>IFERROR(__xludf.DUMMYFUNCTION("IF(OR($A20="""", AN$5=""""), """", IF(ISNUMBER(MATCH(AN$5, IFERROR(FILTER('MASTER LIST'!$N$2:$AB$294, 'MASTER LIST'!$A$2:$A$294=$A20), """"), 0)), ""Y"", """"))"),"")</f>
        <v/>
      </c>
      <c r="AO20" s="92" t="str">
        <f>IFERROR(__xludf.DUMMYFUNCTION("IF(OR($A20="""", AO$5=""""), """", IF(ISNUMBER(MATCH(AO$5, IFERROR(FILTER('MASTER LIST'!$N$2:$AB$294, 'MASTER LIST'!$A$2:$A$294=$A20), """"), 0)), ""Y"", """"))"),"")</f>
        <v/>
      </c>
      <c r="AP20" s="92" t="str">
        <f>IFERROR(__xludf.DUMMYFUNCTION("IF(OR($A20="""", AP$5=""""), """", IF(ISNUMBER(MATCH(AP$5, IFERROR(FILTER('MASTER LIST'!$N$2:$AB$294, 'MASTER LIST'!$A$2:$A$294=$A20), """"), 0)), ""Y"", """"))"),"")</f>
        <v/>
      </c>
      <c r="AQ20" s="92" t="str">
        <f>IFERROR(__xludf.DUMMYFUNCTION("IF(OR($A20="""", AQ$5=""""), """", IF(ISNUMBER(MATCH(AQ$5, IFERROR(FILTER('MASTER LIST'!$N$2:$AB$294, 'MASTER LIST'!$A$2:$A$294=$A20), """"), 0)), ""Y"", """"))"),"")</f>
        <v/>
      </c>
      <c r="AR20" s="92" t="str">
        <f>IFERROR(__xludf.DUMMYFUNCTION("IF(OR($A20="""", AR$5=""""), """", IF(ISNUMBER(MATCH(AR$5, IFERROR(FILTER('MASTER LIST'!$N$2:$AB$294, 'MASTER LIST'!$A$2:$A$294=$A20), """"), 0)), ""Y"", """"))"),"")</f>
        <v/>
      </c>
      <c r="AS20" s="92" t="str">
        <f>IFERROR(__xludf.DUMMYFUNCTION("IF(OR($A20="""", AS$5=""""), """", IF(ISNUMBER(MATCH(AS$5, IFERROR(FILTER('MASTER LIST'!$N$2:$AB$294, 'MASTER LIST'!$A$2:$A$294=$A20), """"), 0)), ""Y"", """"))"),"")</f>
        <v/>
      </c>
      <c r="AT20" s="92" t="str">
        <f>IFERROR(__xludf.DUMMYFUNCTION("IF(OR($A20="""", AT$5=""""), """", IF(ISNUMBER(MATCH(AT$5, IFERROR(FILTER('MASTER LIST'!$N$2:$AB$294, 'MASTER LIST'!$A$2:$A$294=$A20), """"), 0)), ""Y"", """"))"),"")</f>
        <v/>
      </c>
      <c r="AU20" s="92" t="str">
        <f>IFERROR(__xludf.DUMMYFUNCTION("IF(OR($A20="""", AU$5=""""), """", IF(ISNUMBER(MATCH(AU$5, IFERROR(FILTER('MASTER LIST'!$N$2:$AB$294, 'MASTER LIST'!$A$2:$A$294=$A20), """"), 0)), ""Y"", """"))"),"")</f>
        <v/>
      </c>
      <c r="AV20" s="92" t="str">
        <f>IFERROR(__xludf.DUMMYFUNCTION("IF(OR($A20="""", AV$5=""""), """", IF(ISNUMBER(MATCH(AV$5, IFERROR(FILTER('MASTER LIST'!$N$2:$AB$294, 'MASTER LIST'!$A$2:$A$294=$A20), """"), 0)), ""Y"", """"))"),"")</f>
        <v/>
      </c>
      <c r="AW20" s="92" t="str">
        <f>IFERROR(__xludf.DUMMYFUNCTION("IF(OR($A20="""", AW$5=""""), """", IF(ISNUMBER(MATCH(AW$5, IFERROR(FILTER('MASTER LIST'!$N$2:$AB$294, 'MASTER LIST'!$A$2:$A$294=$A20), """"), 0)), ""Y"", """"))"),"")</f>
        <v/>
      </c>
      <c r="AX20" s="92" t="str">
        <f>IFERROR(__xludf.DUMMYFUNCTION("IF(OR($A20="""", AX$5=""""), """", IF(ISNUMBER(MATCH(AX$5, IFERROR(FILTER('MASTER LIST'!$N$2:$AB$294, 'MASTER LIST'!$A$2:$A$294=$A20), """"), 0)), ""Y"", """"))"),"")</f>
        <v/>
      </c>
      <c r="AY20" s="92" t="str">
        <f>IFERROR(__xludf.DUMMYFUNCTION("IF(OR($A20="""", AY$5=""""), """", IF(ISNUMBER(MATCH(AY$5, IFERROR(FILTER('MASTER LIST'!$N$2:$AB$294, 'MASTER LIST'!$A$2:$A$294=$A20), """"), 0)), ""Y"", """"))"),"")</f>
        <v/>
      </c>
      <c r="AZ20" s="92" t="str">
        <f>IFERROR(__xludf.DUMMYFUNCTION("IF(OR($A20="""", AZ$5=""""), """", IF(ISNUMBER(MATCH(AZ$5, IFERROR(FILTER('MASTER LIST'!$N$2:$AB$294, 'MASTER LIST'!$A$2:$A$294=$A20), """"), 0)), ""Y"", """"))"),"")</f>
        <v/>
      </c>
      <c r="BA20" s="92" t="str">
        <f>IFERROR(__xludf.DUMMYFUNCTION("IF(OR($A20="""", BA$5=""""), """", IF(ISNUMBER(MATCH(BA$5, IFERROR(FILTER('MASTER LIST'!$N$2:$AB$294, 'MASTER LIST'!$A$2:$A$294=$A20), """"), 0)), ""Y"", """"))"),"")</f>
        <v/>
      </c>
      <c r="BB20" s="92" t="str">
        <f>IFERROR(__xludf.DUMMYFUNCTION("IF(OR($A20="""", BB$5=""""), """", IF(ISNUMBER(MATCH(BB$5, IFERROR(FILTER('MASTER LIST'!$N$2:$AB$294, 'MASTER LIST'!$A$2:$A$294=$A20), """"), 0)), ""Y"", """"))"),"")</f>
        <v/>
      </c>
      <c r="BC20" s="92" t="str">
        <f>IFERROR(__xludf.DUMMYFUNCTION("IF(OR($A20="""", BC$5=""""), """", IF(ISNUMBER(MATCH(BC$5, IFERROR(FILTER('MASTER LIST'!$N$2:$AB$294, 'MASTER LIST'!$A$2:$A$294=$A20), """"), 0)), ""Y"", """"))"),"")</f>
        <v/>
      </c>
      <c r="BD20" s="92" t="str">
        <f>IFERROR(__xludf.DUMMYFUNCTION("IF(OR($A20="""", BD$5=""""), """", IF(ISNUMBER(MATCH(BD$5, IFERROR(FILTER('MASTER LIST'!$N$2:$AB$294, 'MASTER LIST'!$A$2:$A$294=$A20), """"), 0)), ""Y"", """"))"),"")</f>
        <v/>
      </c>
      <c r="BE20" s="92" t="str">
        <f>IFERROR(__xludf.DUMMYFUNCTION("IF(OR($A20="""", BE$5=""""), """", IF(ISNUMBER(MATCH(BE$5, IFERROR(FILTER('MASTER LIST'!$N$2:$AB$294, 'MASTER LIST'!$A$2:$A$294=$A20), """"), 0)), ""Y"", """"))"),"")</f>
        <v/>
      </c>
      <c r="BF20" s="92" t="str">
        <f>IFERROR(__xludf.DUMMYFUNCTION("IF(OR($A20="""", BF$5=""""), """", IF(ISNUMBER(MATCH(BF$5, IFERROR(FILTER('MASTER LIST'!$N$2:$AB$294, 'MASTER LIST'!$A$2:$A$294=$A20), """"), 0)), ""Y"", """"))"),"")</f>
        <v/>
      </c>
      <c r="BG20" s="92" t="str">
        <f>IFERROR(__xludf.DUMMYFUNCTION("IF(OR($A20="""", BG$5=""""), """", IF(ISNUMBER(MATCH(BG$5, IFERROR(FILTER('MASTER LIST'!$N$2:$AB$294, 'MASTER LIST'!$A$2:$A$294=$A20), """"), 0)), ""Y"", """"))"),"")</f>
        <v/>
      </c>
      <c r="BH20" s="92" t="str">
        <f>IFERROR(__xludf.DUMMYFUNCTION("IF(OR($A20="""", BH$5=""""), """", IF(ISNUMBER(MATCH(BH$5, IFERROR(FILTER('MASTER LIST'!$N$2:$AB$294, 'MASTER LIST'!$A$2:$A$294=$A20), """"), 0)), ""Y"", """"))"),"")</f>
        <v/>
      </c>
      <c r="BI20" s="92" t="str">
        <f>IFERROR(__xludf.DUMMYFUNCTION("IF(OR($A20="""", BI$5=""""), """", IF(ISNUMBER(MATCH(BI$5, IFERROR(FILTER('MASTER LIST'!$N$2:$AB$294, 'MASTER LIST'!$A$2:$A$294=$A20), """"), 0)), ""Y"", """"))"),"")</f>
        <v/>
      </c>
      <c r="BJ20" s="92" t="str">
        <f>IFERROR(__xludf.DUMMYFUNCTION("IF(OR($A20="""", BJ$5=""""), """", IF(ISNUMBER(MATCH(BJ$5, IFERROR(FILTER('MASTER LIST'!$N$2:$AB$294, 'MASTER LIST'!$A$2:$A$294=$A20), """"), 0)), ""Y"", """"))"),"")</f>
        <v/>
      </c>
      <c r="BK20" s="92" t="str">
        <f>IFERROR(__xludf.DUMMYFUNCTION("IF(OR($A20="""", BK$5=""""), """", IF(ISNUMBER(MATCH(BK$5, IFERROR(FILTER('MASTER LIST'!$N$2:$AB$294, 'MASTER LIST'!$A$2:$A$294=$A20), """"), 0)), ""Y"", """"))"),"")</f>
        <v/>
      </c>
      <c r="BL20" s="92" t="str">
        <f>IFERROR(__xludf.DUMMYFUNCTION("IF(OR($A20="""", BL$5=""""), """", IF(ISNUMBER(MATCH(BL$5, IFERROR(FILTER('MASTER LIST'!$N$2:$AB$294, 'MASTER LIST'!$A$2:$A$294=$A20), """"), 0)), ""Y"", """"))"),"")</f>
        <v/>
      </c>
      <c r="BM20" s="92" t="str">
        <f>IFERROR(__xludf.DUMMYFUNCTION("IF(OR($A20="""", BM$5=""""), """", IF(ISNUMBER(MATCH(BM$5, IFERROR(FILTER('MASTER LIST'!$N$2:$AB$294, 'MASTER LIST'!$A$2:$A$294=$A20), """"), 0)), ""Y"", """"))"),"")</f>
        <v/>
      </c>
      <c r="BN20" s="92" t="str">
        <f>IFERROR(__xludf.DUMMYFUNCTION("IF(OR($A20="""", BN$5=""""), """", IF(ISNUMBER(MATCH(BN$5, IFERROR(FILTER('MASTER LIST'!$N$2:$AB$294, 'MASTER LIST'!$A$2:$A$294=$A20), """"), 0)), ""Y"", """"))"),"")</f>
        <v/>
      </c>
      <c r="BO20" s="92" t="str">
        <f>IFERROR(__xludf.DUMMYFUNCTION("IF(OR($A20="""", BO$5=""""), """", IF(ISNUMBER(MATCH(BO$5, IFERROR(FILTER('MASTER LIST'!$N$2:$AB$294, 'MASTER LIST'!$A$2:$A$294=$A20), """"), 0)), ""Y"", """"))"),"")</f>
        <v/>
      </c>
      <c r="BP20" s="92" t="str">
        <f>IFERROR(__xludf.DUMMYFUNCTION("IF(OR($A20="""", BP$5=""""), """", IF(ISNUMBER(MATCH(BP$5, IFERROR(FILTER('MASTER LIST'!$N$2:$AB$294, 'MASTER LIST'!$A$2:$A$294=$A20), """"), 0)), ""Y"", """"))"),"")</f>
        <v/>
      </c>
      <c r="BQ20" s="92" t="str">
        <f>IFERROR(__xludf.DUMMYFUNCTION("IF(OR($A20="""", BQ$5=""""), """", IF(ISNUMBER(MATCH(BQ$5, IFERROR(FILTER('MASTER LIST'!$N$2:$AB$294, 'MASTER LIST'!$A$2:$A$294=$A20), """"), 0)), ""Y"", """"))"),"")</f>
        <v/>
      </c>
      <c r="BR20" s="92" t="str">
        <f>IFERROR(__xludf.DUMMYFUNCTION("IF(OR($A20="""", BR$5=""""), """", IF(ISNUMBER(MATCH(BR$5, IFERROR(FILTER('MASTER LIST'!$N$2:$AB$294, 'MASTER LIST'!$A$2:$A$294=$A20), """"), 0)), ""Y"", """"))"),"")</f>
        <v/>
      </c>
      <c r="BS20" s="92" t="str">
        <f>IFERROR(__xludf.DUMMYFUNCTION("IF(OR($A20="""", BS$5=""""), """", IF(ISNUMBER(MATCH(BS$5, IFERROR(FILTER('MASTER LIST'!$N$2:$AB$294, 'MASTER LIST'!$A$2:$A$294=$A20), """"), 0)), ""Y"", """"))"),"")</f>
        <v/>
      </c>
      <c r="BT20" s="92" t="str">
        <f>IFERROR(__xludf.DUMMYFUNCTION("IF(OR($A20="""", BT$5=""""), """", IF(ISNUMBER(MATCH(BT$5, IFERROR(FILTER('MASTER LIST'!$N$2:$AB$294, 'MASTER LIST'!$A$2:$A$294=$A20), """"), 0)), ""Y"", """"))"),"")</f>
        <v/>
      </c>
      <c r="BU20" s="92" t="str">
        <f>IFERROR(__xludf.DUMMYFUNCTION("IF(OR($A20="""", BU$5=""""), """", IF(ISNUMBER(MATCH(BU$5, IFERROR(FILTER('MASTER LIST'!$N$2:$AB$294, 'MASTER LIST'!$A$2:$A$294=$A20), """"), 0)), ""Y"", """"))"),"")</f>
        <v/>
      </c>
      <c r="BV20" s="92" t="str">
        <f>IFERROR(__xludf.DUMMYFUNCTION("IF(OR($A20="""", BV$5=""""), """", IF(ISNUMBER(MATCH(BV$5, IFERROR(FILTER('MASTER LIST'!$N$2:$AB$294, 'MASTER LIST'!$A$2:$A$294=$A20), """"), 0)), ""Y"", """"))"),"")</f>
        <v/>
      </c>
      <c r="BW20" s="92" t="str">
        <f>IFERROR(__xludf.DUMMYFUNCTION("IF(OR($A20="""", BW$5=""""), """", IF(ISNUMBER(MATCH(BW$5, IFERROR(FILTER('MASTER LIST'!$N$2:$AB$294, 'MASTER LIST'!$A$2:$A$294=$A20), """"), 0)), ""Y"", """"))"),"")</f>
        <v/>
      </c>
      <c r="BX20" s="92" t="str">
        <f>IFERROR(__xludf.DUMMYFUNCTION("IF(OR($A20="""", BX$5=""""), """", IF(ISNUMBER(MATCH(BX$5, IFERROR(FILTER('MASTER LIST'!$N$2:$AB$294, 'MASTER LIST'!$A$2:$A$294=$A20), """"), 0)), ""Y"", """"))"),"")</f>
        <v/>
      </c>
      <c r="BY20" s="92" t="str">
        <f>IFERROR(__xludf.DUMMYFUNCTION("IF(OR($A20="""", BY$5=""""), """", IF(ISNUMBER(MATCH(BY$5, IFERROR(FILTER('MASTER LIST'!$N$2:$AB$294, 'MASTER LIST'!$A$2:$A$294=$A20), """"), 0)), ""Y"", """"))"),"")</f>
        <v/>
      </c>
      <c r="BZ20" s="92" t="str">
        <f>IFERROR(__xludf.DUMMYFUNCTION("IF(OR($A20="""", BZ$5=""""), """", IF(ISNUMBER(MATCH(BZ$5, IFERROR(FILTER('MASTER LIST'!$N$2:$AB$294, 'MASTER LIST'!$A$2:$A$294=$A20), """"), 0)), ""Y"", """"))"),"")</f>
        <v/>
      </c>
      <c r="CA20" s="92" t="str">
        <f>IFERROR(__xludf.DUMMYFUNCTION("IF(OR($A20="""", CA$5=""""), """", IF(ISNUMBER(MATCH(CA$5, IFERROR(FILTER('MASTER LIST'!$N$2:$AB$294, 'MASTER LIST'!$A$2:$A$294=$A20), """"), 0)), ""Y"", """"))"),"")</f>
        <v/>
      </c>
      <c r="CB20" s="92" t="str">
        <f>IFERROR(__xludf.DUMMYFUNCTION("IF(OR($A20="""", CB$5=""""), """", IF(ISNUMBER(MATCH(CB$5, IFERROR(FILTER('MASTER LIST'!$N$2:$AB$294, 'MASTER LIST'!$A$2:$A$294=$A20), """"), 0)), ""Y"", """"))"),"")</f>
        <v/>
      </c>
      <c r="CC20" s="92"/>
      <c r="CD20" s="92"/>
      <c r="CE20" s="92"/>
      <c r="CF20" s="92"/>
      <c r="CG20" s="92"/>
      <c r="CH20" s="92"/>
      <c r="CI20" s="92"/>
      <c r="CJ20" s="92"/>
      <c r="CK20" s="92"/>
    </row>
    <row r="21">
      <c r="A21" s="75">
        <f>IFERROR(__xludf.DUMMYFUNCTION("""COMPUTED_VALUE"""),317.0)</f>
        <v>317</v>
      </c>
      <c r="B21" s="75" t="str">
        <f>IFERROR(__xludf.DUMMYFUNCTION("""COMPUTED_VALUE"""),"MUHAMMED SHAMEEM K")</f>
        <v>MUHAMMED SHAMEEM K</v>
      </c>
      <c r="C21" s="75">
        <f>IFERROR(__xludf.DUMMYFUNCTION("""COMPUTED_VALUE"""),4.0)</f>
        <v>4</v>
      </c>
      <c r="D21" s="75" t="str">
        <f>IFERROR(__xludf.DUMMYFUNCTION("""COMPUTED_VALUE"""),"THĀNIYAH")</f>
        <v>THĀNIYAH</v>
      </c>
      <c r="E21" s="75" t="str">
        <f>IFERROR(__xludf.DUMMYFUNCTION("""COMPUTED_VALUE"""),"TEAM C")</f>
        <v>TEAM C</v>
      </c>
      <c r="F21" s="75" t="str">
        <f>IFERROR(__xludf.DUMMYFUNCTION("""COMPUTED_VALUE"""),"Min 1 Required (Stage &amp; Non-Stage)")</f>
        <v>Min 1 Required (Stage &amp; Non-Stage)</v>
      </c>
      <c r="G21" s="91" t="str">
        <f>IFERROR(__xludf.DUMMYFUNCTION("IF(OR($A21="""", G$5=""""), """", IF(ISNUMBER(MATCH(G$5, IFERROR(FILTER('MASTER LIST'!$N$2:$W$294, 'MASTER LIST'!$A$2:$A$294=$A21), """"), 0)), ""Y"", """"))"),"")</f>
        <v/>
      </c>
      <c r="H21" s="92" t="str">
        <f>IFERROR(__xludf.DUMMYFUNCTION("IF(OR($A22="""", H$5=""""), """", IF(ISNUMBER(MATCH(H$5, IFERROR(FILTER('MASTER LIST'!$N$2:$AB$294, 'MASTER LIST'!$A$2:$A$294=$A22), """"), 0)), ""Y"", """"))"),"")</f>
        <v/>
      </c>
      <c r="J21" s="92" t="str">
        <f>IFERROR(__xludf.DUMMYFUNCTION("IF(OR($A21="""", J$5=""""), """", IF(ISNUMBER(MATCH(J$5, IFERROR(FILTER('MASTER LIST'!$N$2:$AB$294, 'MASTER LIST'!$A$2:$A$294=$A21), """"), 0)), ""Y"", """"))"),"")</f>
        <v/>
      </c>
      <c r="K21" s="92" t="str">
        <f>IFERROR(__xludf.DUMMYFUNCTION("IF(OR($A21="""", K$5=""""), """", IF(ISNUMBER(MATCH(K$5, IFERROR(FILTER('MASTER LIST'!$N$2:$AB$294, 'MASTER LIST'!$A$2:$A$294=$A21), """"), 0)), ""Y"", """"))"),"")</f>
        <v/>
      </c>
      <c r="L21" s="92" t="str">
        <f>IFERROR(__xludf.DUMMYFUNCTION("IF(OR($A21="""", L$5=""""), """", IF(ISNUMBER(MATCH(L$5, IFERROR(FILTER('MASTER LIST'!$N$2:$AB$294, 'MASTER LIST'!$A$2:$A$294=$A21), """"), 0)), ""Y"", """"))"),"")</f>
        <v/>
      </c>
      <c r="M21" s="92" t="str">
        <f>IFERROR(__xludf.DUMMYFUNCTION("IF(OR($A21="""", M$5=""""), """", IF(ISNUMBER(MATCH(M$5, IFERROR(FILTER('MASTER LIST'!$N$2:$AB$294, 'MASTER LIST'!$A$2:$A$294=$A21), """"), 0)), ""Y"", """"))"),"")</f>
        <v/>
      </c>
      <c r="N21" s="92" t="str">
        <f>IFERROR(__xludf.DUMMYFUNCTION("IF(OR($A21="""", N$5=""""), """", IF(ISNUMBER(MATCH(N$5, IFERROR(FILTER('MASTER LIST'!$N$2:$AB$294, 'MASTER LIST'!$A$2:$A$294=$A21), """"), 0)), ""Y"", """"))"),"")</f>
        <v/>
      </c>
      <c r="O21" s="92" t="str">
        <f>IFERROR(__xludf.DUMMYFUNCTION("IF(OR($A21="""", O$5=""""), """", IF(ISNUMBER(MATCH(O$5, IFERROR(FILTER('MASTER LIST'!$N$2:$AB$294, 'MASTER LIST'!$A$2:$A$294=$A21), """"), 0)), ""Y"", """"))"),"")</f>
        <v/>
      </c>
      <c r="P21" s="92" t="str">
        <f>IFERROR(__xludf.DUMMYFUNCTION("IF(OR($A21="""", P$5=""""), """", IF(ISNUMBER(MATCH(P$5, IFERROR(FILTER('MASTER LIST'!$N$2:$AB$294, 'MASTER LIST'!$A$2:$A$294=$A21), """"), 0)), ""Y"", """"))"),"")</f>
        <v/>
      </c>
      <c r="Q21" s="92" t="str">
        <f>IFERROR(__xludf.DUMMYFUNCTION("IF(OR($A21="""", Q$5=""""), """", IF(ISNUMBER(MATCH(Q$5, IFERROR(FILTER('MASTER LIST'!$N$2:$AB$294, 'MASTER LIST'!$A$2:$A$294=$A21), """"), 0)), ""Y"", """"))"),"")</f>
        <v/>
      </c>
      <c r="R21" s="92" t="str">
        <f>IFERROR(__xludf.DUMMYFUNCTION("IF(OR($A21="""", R$5=""""), """", IF(ISNUMBER(MATCH(R$5, IFERROR(FILTER('MASTER LIST'!$N$2:$AB$294, 'MASTER LIST'!$A$2:$A$294=$A21), """"), 0)), ""Y"", """"))"),"")</f>
        <v/>
      </c>
      <c r="S21" s="92" t="str">
        <f>IFERROR(__xludf.DUMMYFUNCTION("IF(OR($A21="""", S$5=""""), """", IF(ISNUMBER(MATCH(S$5, IFERROR(FILTER('MASTER LIST'!$N$2:$AB$294, 'MASTER LIST'!$A$2:$A$294=$A21), """"), 0)), ""Y"", """"))"),"")</f>
        <v/>
      </c>
      <c r="T21" s="92" t="str">
        <f>IFERROR(__xludf.DUMMYFUNCTION("IF(OR($A21="""", T$5=""""), """", IF(ISNUMBER(MATCH(T$5, IFERROR(FILTER('MASTER LIST'!$N$2:$AB$294, 'MASTER LIST'!$A$2:$A$294=$A21), """"), 0)), ""Y"", """"))"),"")</f>
        <v/>
      </c>
      <c r="U21" s="92" t="str">
        <f>IFERROR(__xludf.DUMMYFUNCTION("IF(OR($A21="""", U$5=""""), """", IF(ISNUMBER(MATCH(U$5, IFERROR(FILTER('MASTER LIST'!$N$2:$AB$294, 'MASTER LIST'!$A$2:$A$294=$A21), """"), 0)), ""Y"", """"))"),"")</f>
        <v/>
      </c>
      <c r="V21" s="92" t="str">
        <f>IFERROR(__xludf.DUMMYFUNCTION("IF(OR($A21="""", V$5=""""), """", IF(ISNUMBER(MATCH(V$5, IFERROR(FILTER('MASTER LIST'!$N$2:$AB$294, 'MASTER LIST'!$A$2:$A$294=$A21), """"), 0)), ""Y"", """"))"),"")</f>
        <v/>
      </c>
      <c r="W21" s="92" t="str">
        <f>IFERROR(__xludf.DUMMYFUNCTION("IF(OR($A21="""", W$5=""""), """", IF(ISNUMBER(MATCH(W$5, IFERROR(FILTER('MASTER LIST'!$N$2:$AB$294, 'MASTER LIST'!$A$2:$A$294=$A21), """"), 0)), ""Y"", """"))"),"")</f>
        <v/>
      </c>
      <c r="X21" s="92" t="str">
        <f>IFERROR(__xludf.DUMMYFUNCTION("IF(OR($A21="""", X$5=""""), """", IF(ISNUMBER(MATCH(X$5, IFERROR(FILTER('MASTER LIST'!$N$2:$AB$294, 'MASTER LIST'!$A$2:$A$294=$A21), """"), 0)), ""Y"", """"))"),"")</f>
        <v/>
      </c>
      <c r="Y21" s="92" t="str">
        <f>IFERROR(__xludf.DUMMYFUNCTION("IF(OR($A21="""", Y$5=""""), """", IF(ISNUMBER(MATCH(Y$5, IFERROR(FILTER('MASTER LIST'!$N$2:$AB$294, 'MASTER LIST'!$A$2:$A$294=$A21), """"), 0)), ""Y"", """"))"),"")</f>
        <v/>
      </c>
      <c r="Z21" s="92" t="str">
        <f>IFERROR(__xludf.DUMMYFUNCTION("IF(OR($A21="""", Z$5=""""), """", IF(ISNUMBER(MATCH(Z$5, IFERROR(FILTER('MASTER LIST'!$N$2:$AB$294, 'MASTER LIST'!$A$2:$A$294=$A21), """"), 0)), ""Y"", """"))"),"")</f>
        <v/>
      </c>
      <c r="AA21" s="92" t="str">
        <f>IFERROR(__xludf.DUMMYFUNCTION("IF(OR($A21="""", AA$5=""""), """", IF(ISNUMBER(MATCH(AA$5, IFERROR(FILTER('MASTER LIST'!$N$2:$AB$294, 'MASTER LIST'!$A$2:$A$294=$A21), """"), 0)), ""Y"", """"))"),"")</f>
        <v/>
      </c>
      <c r="AB21" s="92" t="str">
        <f>IFERROR(__xludf.DUMMYFUNCTION("IF(OR($A21="""", AB$5=""""), """", IF(ISNUMBER(MATCH(AB$5, IFERROR(FILTER('MASTER LIST'!$N$2:$AB$294, 'MASTER LIST'!$A$2:$A$294=$A21), """"), 0)), ""Y"", """"))"),"")</f>
        <v/>
      </c>
      <c r="AC21" s="92" t="str">
        <f>IFERROR(__xludf.DUMMYFUNCTION("IF(OR($A21="""", AC$5=""""), """", IF(ISNUMBER(MATCH(AC$5, IFERROR(FILTER('MASTER LIST'!$N$2:$AB$294, 'MASTER LIST'!$A$2:$A$294=$A21), """"), 0)), ""Y"", """"))"),"")</f>
        <v/>
      </c>
      <c r="AD21" s="92" t="str">
        <f>IFERROR(__xludf.DUMMYFUNCTION("IF(OR($A21="""", AD$5=""""), """", IF(ISNUMBER(MATCH(AD$5, IFERROR(FILTER('MASTER LIST'!$N$2:$AB$294, 'MASTER LIST'!$A$2:$A$294=$A21), """"), 0)), ""Y"", """"))"),"")</f>
        <v/>
      </c>
      <c r="AE21" s="92" t="str">
        <f>IFERROR(__xludf.DUMMYFUNCTION("IF(OR($A21="""", AE$5=""""), """", IF(ISNUMBER(MATCH(AE$5, IFERROR(FILTER('MASTER LIST'!$N$2:$AB$294, 'MASTER LIST'!$A$2:$A$294=$A21), """"), 0)), ""Y"", """"))"),"")</f>
        <v/>
      </c>
      <c r="AF21" s="92" t="str">
        <f>IFERROR(__xludf.DUMMYFUNCTION("IF(OR($A21="""", AF$5=""""), """", IF(ISNUMBER(MATCH(AF$5, IFERROR(FILTER('MASTER LIST'!$N$2:$AB$294, 'MASTER LIST'!$A$2:$A$294=$A21), """"), 0)), ""Y"", """"))"),"")</f>
        <v/>
      </c>
      <c r="AG21" s="92" t="str">
        <f>IFERROR(__xludf.DUMMYFUNCTION("IF(OR($A21="""", AG$5=""""), """", IF(ISNUMBER(MATCH(AG$5, IFERROR(FILTER('MASTER LIST'!$N$2:$AB$294, 'MASTER LIST'!$A$2:$A$294=$A21), """"), 0)), ""Y"", """"))"),"")</f>
        <v/>
      </c>
      <c r="AH21" s="92" t="str">
        <f>IFERROR(__xludf.DUMMYFUNCTION("IF(OR($A21="""", AH$5=""""), """", IF(ISNUMBER(MATCH(AH$5, IFERROR(FILTER('MASTER LIST'!$N$2:$AB$294, 'MASTER LIST'!$A$2:$A$294=$A21), """"), 0)), ""Y"", """"))"),"")</f>
        <v/>
      </c>
      <c r="AI21" s="92" t="str">
        <f>IFERROR(__xludf.DUMMYFUNCTION("IF(OR($A21="""", AI$5=""""), """", IF(ISNUMBER(MATCH(AI$5, IFERROR(FILTER('MASTER LIST'!$N$2:$AB$294, 'MASTER LIST'!$A$2:$A$294=$A21), """"), 0)), ""Y"", """"))"),"")</f>
        <v/>
      </c>
      <c r="AJ21" s="92" t="str">
        <f>IFERROR(__xludf.DUMMYFUNCTION("IF(OR($A21="""", AJ$5=""""), """", IF(ISNUMBER(MATCH(AJ$5, IFERROR(FILTER('MASTER LIST'!$N$2:$AB$294, 'MASTER LIST'!$A$2:$A$294=$A21), """"), 0)), ""Y"", """"))"),"")</f>
        <v/>
      </c>
      <c r="AK21" s="92" t="str">
        <f>IFERROR(__xludf.DUMMYFUNCTION("IF(OR($A21="""", AK$5=""""), """", IF(ISNUMBER(MATCH(AK$5, IFERROR(FILTER('MASTER LIST'!$N$2:$AB$294, 'MASTER LIST'!$A$2:$A$294=$A21), """"), 0)), ""Y"", """"))"),"")</f>
        <v/>
      </c>
      <c r="AL21" s="92" t="str">
        <f>IFERROR(__xludf.DUMMYFUNCTION("IF(OR($A21="""", AL$5=""""), """", IF(ISNUMBER(MATCH(AL$5, IFERROR(FILTER('MASTER LIST'!$N$2:$AB$294, 'MASTER LIST'!$A$2:$A$294=$A21), """"), 0)), ""Y"", """"))"),"")</f>
        <v/>
      </c>
      <c r="AM21" s="92" t="str">
        <f>IFERROR(__xludf.DUMMYFUNCTION("IF(OR($A21="""", AM$5=""""), """", IF(ISNUMBER(MATCH(AM$5, IFERROR(FILTER('MASTER LIST'!$N$2:$AB$294, 'MASTER LIST'!$A$2:$A$294=$A21), """"), 0)), ""Y"", """"))"),"")</f>
        <v/>
      </c>
      <c r="AN21" s="92" t="str">
        <f>IFERROR(__xludf.DUMMYFUNCTION("IF(OR($A21="""", AN$5=""""), """", IF(ISNUMBER(MATCH(AN$5, IFERROR(FILTER('MASTER LIST'!$N$2:$AB$294, 'MASTER LIST'!$A$2:$A$294=$A21), """"), 0)), ""Y"", """"))"),"")</f>
        <v/>
      </c>
      <c r="AO21" s="92" t="str">
        <f>IFERROR(__xludf.DUMMYFUNCTION("IF(OR($A21="""", AO$5=""""), """", IF(ISNUMBER(MATCH(AO$5, IFERROR(FILTER('MASTER LIST'!$N$2:$AB$294, 'MASTER LIST'!$A$2:$A$294=$A21), """"), 0)), ""Y"", """"))"),"")</f>
        <v/>
      </c>
      <c r="AP21" s="92" t="str">
        <f>IFERROR(__xludf.DUMMYFUNCTION("IF(OR($A21="""", AP$5=""""), """", IF(ISNUMBER(MATCH(AP$5, IFERROR(FILTER('MASTER LIST'!$N$2:$AB$294, 'MASTER LIST'!$A$2:$A$294=$A21), """"), 0)), ""Y"", """"))"),"")</f>
        <v/>
      </c>
      <c r="AQ21" s="92" t="str">
        <f>IFERROR(__xludf.DUMMYFUNCTION("IF(OR($A21="""", AQ$5=""""), """", IF(ISNUMBER(MATCH(AQ$5, IFERROR(FILTER('MASTER LIST'!$N$2:$AB$294, 'MASTER LIST'!$A$2:$A$294=$A21), """"), 0)), ""Y"", """"))"),"")</f>
        <v/>
      </c>
      <c r="AR21" s="92" t="str">
        <f>IFERROR(__xludf.DUMMYFUNCTION("IF(OR($A21="""", AR$5=""""), """", IF(ISNUMBER(MATCH(AR$5, IFERROR(FILTER('MASTER LIST'!$N$2:$AB$294, 'MASTER LIST'!$A$2:$A$294=$A21), """"), 0)), ""Y"", """"))"),"")</f>
        <v/>
      </c>
      <c r="AS21" s="92" t="str">
        <f>IFERROR(__xludf.DUMMYFUNCTION("IF(OR($A21="""", AS$5=""""), """", IF(ISNUMBER(MATCH(AS$5, IFERROR(FILTER('MASTER LIST'!$N$2:$AB$294, 'MASTER LIST'!$A$2:$A$294=$A21), """"), 0)), ""Y"", """"))"),"")</f>
        <v/>
      </c>
      <c r="AT21" s="92" t="str">
        <f>IFERROR(__xludf.DUMMYFUNCTION("IF(OR($A21="""", AT$5=""""), """", IF(ISNUMBER(MATCH(AT$5, IFERROR(FILTER('MASTER LIST'!$N$2:$AB$294, 'MASTER LIST'!$A$2:$A$294=$A21), """"), 0)), ""Y"", """"))"),"")</f>
        <v/>
      </c>
      <c r="AU21" s="92" t="str">
        <f>IFERROR(__xludf.DUMMYFUNCTION("IF(OR($A21="""", AU$5=""""), """", IF(ISNUMBER(MATCH(AU$5, IFERROR(FILTER('MASTER LIST'!$N$2:$AB$294, 'MASTER LIST'!$A$2:$A$294=$A21), """"), 0)), ""Y"", """"))"),"")</f>
        <v/>
      </c>
      <c r="AV21" s="92" t="str">
        <f>IFERROR(__xludf.DUMMYFUNCTION("IF(OR($A21="""", AV$5=""""), """", IF(ISNUMBER(MATCH(AV$5, IFERROR(FILTER('MASTER LIST'!$N$2:$AB$294, 'MASTER LIST'!$A$2:$A$294=$A21), """"), 0)), ""Y"", """"))"),"")</f>
        <v/>
      </c>
      <c r="AW21" s="92" t="str">
        <f>IFERROR(__xludf.DUMMYFUNCTION("IF(OR($A21="""", AW$5=""""), """", IF(ISNUMBER(MATCH(AW$5, IFERROR(FILTER('MASTER LIST'!$N$2:$AB$294, 'MASTER LIST'!$A$2:$A$294=$A21), """"), 0)), ""Y"", """"))"),"")</f>
        <v/>
      </c>
      <c r="AX21" s="92" t="str">
        <f>IFERROR(__xludf.DUMMYFUNCTION("IF(OR($A21="""", AX$5=""""), """", IF(ISNUMBER(MATCH(AX$5, IFERROR(FILTER('MASTER LIST'!$N$2:$AB$294, 'MASTER LIST'!$A$2:$A$294=$A21), """"), 0)), ""Y"", """"))"),"")</f>
        <v/>
      </c>
      <c r="AY21" s="92" t="str">
        <f>IFERROR(__xludf.DUMMYFUNCTION("IF(OR($A21="""", AY$5=""""), """", IF(ISNUMBER(MATCH(AY$5, IFERROR(FILTER('MASTER LIST'!$N$2:$AB$294, 'MASTER LIST'!$A$2:$A$294=$A21), """"), 0)), ""Y"", """"))"),"")</f>
        <v/>
      </c>
      <c r="AZ21" s="92" t="str">
        <f>IFERROR(__xludf.DUMMYFUNCTION("IF(OR($A21="""", AZ$5=""""), """", IF(ISNUMBER(MATCH(AZ$5, IFERROR(FILTER('MASTER LIST'!$N$2:$AB$294, 'MASTER LIST'!$A$2:$A$294=$A21), """"), 0)), ""Y"", """"))"),"")</f>
        <v/>
      </c>
      <c r="BA21" s="92" t="str">
        <f>IFERROR(__xludf.DUMMYFUNCTION("IF(OR($A21="""", BA$5=""""), """", IF(ISNUMBER(MATCH(BA$5, IFERROR(FILTER('MASTER LIST'!$N$2:$AB$294, 'MASTER LIST'!$A$2:$A$294=$A21), """"), 0)), ""Y"", """"))"),"")</f>
        <v/>
      </c>
      <c r="BB21" s="92" t="str">
        <f>IFERROR(__xludf.DUMMYFUNCTION("IF(OR($A21="""", BB$5=""""), """", IF(ISNUMBER(MATCH(BB$5, IFERROR(FILTER('MASTER LIST'!$N$2:$AB$294, 'MASTER LIST'!$A$2:$A$294=$A21), """"), 0)), ""Y"", """"))"),"")</f>
        <v/>
      </c>
      <c r="BC21" s="92" t="str">
        <f>IFERROR(__xludf.DUMMYFUNCTION("IF(OR($A21="""", BC$5=""""), """", IF(ISNUMBER(MATCH(BC$5, IFERROR(FILTER('MASTER LIST'!$N$2:$AB$294, 'MASTER LIST'!$A$2:$A$294=$A21), """"), 0)), ""Y"", """"))"),"")</f>
        <v/>
      </c>
      <c r="BD21" s="92" t="str">
        <f>IFERROR(__xludf.DUMMYFUNCTION("IF(OR($A21="""", BD$5=""""), """", IF(ISNUMBER(MATCH(BD$5, IFERROR(FILTER('MASTER LIST'!$N$2:$AB$294, 'MASTER LIST'!$A$2:$A$294=$A21), """"), 0)), ""Y"", """"))"),"")</f>
        <v/>
      </c>
      <c r="BE21" s="92" t="str">
        <f>IFERROR(__xludf.DUMMYFUNCTION("IF(OR($A21="""", BE$5=""""), """", IF(ISNUMBER(MATCH(BE$5, IFERROR(FILTER('MASTER LIST'!$N$2:$AB$294, 'MASTER LIST'!$A$2:$A$294=$A21), """"), 0)), ""Y"", """"))"),"")</f>
        <v/>
      </c>
      <c r="BF21" s="92" t="str">
        <f>IFERROR(__xludf.DUMMYFUNCTION("IF(OR($A21="""", BF$5=""""), """", IF(ISNUMBER(MATCH(BF$5, IFERROR(FILTER('MASTER LIST'!$N$2:$AB$294, 'MASTER LIST'!$A$2:$A$294=$A21), """"), 0)), ""Y"", """"))"),"")</f>
        <v/>
      </c>
      <c r="BG21" s="92" t="str">
        <f>IFERROR(__xludf.DUMMYFUNCTION("IF(OR($A21="""", BG$5=""""), """", IF(ISNUMBER(MATCH(BG$5, IFERROR(FILTER('MASTER LIST'!$N$2:$AB$294, 'MASTER LIST'!$A$2:$A$294=$A21), """"), 0)), ""Y"", """"))"),"")</f>
        <v/>
      </c>
      <c r="BH21" s="92" t="str">
        <f>IFERROR(__xludf.DUMMYFUNCTION("IF(OR($A21="""", BH$5=""""), """", IF(ISNUMBER(MATCH(BH$5, IFERROR(FILTER('MASTER LIST'!$N$2:$AB$294, 'MASTER LIST'!$A$2:$A$294=$A21), """"), 0)), ""Y"", """"))"),"")</f>
        <v/>
      </c>
      <c r="BI21" s="92" t="str">
        <f>IFERROR(__xludf.DUMMYFUNCTION("IF(OR($A21="""", BI$5=""""), """", IF(ISNUMBER(MATCH(BI$5, IFERROR(FILTER('MASTER LIST'!$N$2:$AB$294, 'MASTER LIST'!$A$2:$A$294=$A21), """"), 0)), ""Y"", """"))"),"")</f>
        <v/>
      </c>
      <c r="BJ21" s="92" t="str">
        <f>IFERROR(__xludf.DUMMYFUNCTION("IF(OR($A21="""", BJ$5=""""), """", IF(ISNUMBER(MATCH(BJ$5, IFERROR(FILTER('MASTER LIST'!$N$2:$AB$294, 'MASTER LIST'!$A$2:$A$294=$A21), """"), 0)), ""Y"", """"))"),"")</f>
        <v/>
      </c>
      <c r="BK21" s="92" t="str">
        <f>IFERROR(__xludf.DUMMYFUNCTION("IF(OR($A21="""", BK$5=""""), """", IF(ISNUMBER(MATCH(BK$5, IFERROR(FILTER('MASTER LIST'!$N$2:$AB$294, 'MASTER LIST'!$A$2:$A$294=$A21), """"), 0)), ""Y"", """"))"),"")</f>
        <v/>
      </c>
      <c r="BL21" s="92" t="str">
        <f>IFERROR(__xludf.DUMMYFUNCTION("IF(OR($A21="""", BL$5=""""), """", IF(ISNUMBER(MATCH(BL$5, IFERROR(FILTER('MASTER LIST'!$N$2:$AB$294, 'MASTER LIST'!$A$2:$A$294=$A21), """"), 0)), ""Y"", """"))"),"")</f>
        <v/>
      </c>
      <c r="BM21" s="92" t="str">
        <f>IFERROR(__xludf.DUMMYFUNCTION("IF(OR($A21="""", BM$5=""""), """", IF(ISNUMBER(MATCH(BM$5, IFERROR(FILTER('MASTER LIST'!$N$2:$AB$294, 'MASTER LIST'!$A$2:$A$294=$A21), """"), 0)), ""Y"", """"))"),"")</f>
        <v/>
      </c>
      <c r="BN21" s="92" t="str">
        <f>IFERROR(__xludf.DUMMYFUNCTION("IF(OR($A21="""", BN$5=""""), """", IF(ISNUMBER(MATCH(BN$5, IFERROR(FILTER('MASTER LIST'!$N$2:$AB$294, 'MASTER LIST'!$A$2:$A$294=$A21), """"), 0)), ""Y"", """"))"),"")</f>
        <v/>
      </c>
      <c r="BO21" s="92" t="str">
        <f>IFERROR(__xludf.DUMMYFUNCTION("IF(OR($A21="""", BO$5=""""), """", IF(ISNUMBER(MATCH(BO$5, IFERROR(FILTER('MASTER LIST'!$N$2:$AB$294, 'MASTER LIST'!$A$2:$A$294=$A21), """"), 0)), ""Y"", """"))"),"")</f>
        <v/>
      </c>
      <c r="BP21" s="92" t="str">
        <f>IFERROR(__xludf.DUMMYFUNCTION("IF(OR($A21="""", BP$5=""""), """", IF(ISNUMBER(MATCH(BP$5, IFERROR(FILTER('MASTER LIST'!$N$2:$AB$294, 'MASTER LIST'!$A$2:$A$294=$A21), """"), 0)), ""Y"", """"))"),"")</f>
        <v/>
      </c>
      <c r="BQ21" s="92" t="str">
        <f>IFERROR(__xludf.DUMMYFUNCTION("IF(OR($A21="""", BQ$5=""""), """", IF(ISNUMBER(MATCH(BQ$5, IFERROR(FILTER('MASTER LIST'!$N$2:$AB$294, 'MASTER LIST'!$A$2:$A$294=$A21), """"), 0)), ""Y"", """"))"),"")</f>
        <v/>
      </c>
      <c r="BR21" s="92" t="str">
        <f>IFERROR(__xludf.DUMMYFUNCTION("IF(OR($A21="""", BR$5=""""), """", IF(ISNUMBER(MATCH(BR$5, IFERROR(FILTER('MASTER LIST'!$N$2:$AB$294, 'MASTER LIST'!$A$2:$A$294=$A21), """"), 0)), ""Y"", """"))"),"")</f>
        <v/>
      </c>
      <c r="BS21" s="92" t="str">
        <f>IFERROR(__xludf.DUMMYFUNCTION("IF(OR($A21="""", BS$5=""""), """", IF(ISNUMBER(MATCH(BS$5, IFERROR(FILTER('MASTER LIST'!$N$2:$AB$294, 'MASTER LIST'!$A$2:$A$294=$A21), """"), 0)), ""Y"", """"))"),"")</f>
        <v/>
      </c>
      <c r="BT21" s="92" t="str">
        <f>IFERROR(__xludf.DUMMYFUNCTION("IF(OR($A21="""", BT$5=""""), """", IF(ISNUMBER(MATCH(BT$5, IFERROR(FILTER('MASTER LIST'!$N$2:$AB$294, 'MASTER LIST'!$A$2:$A$294=$A21), """"), 0)), ""Y"", """"))"),"")</f>
        <v/>
      </c>
      <c r="BU21" s="92" t="str">
        <f>IFERROR(__xludf.DUMMYFUNCTION("IF(OR($A21="""", BU$5=""""), """", IF(ISNUMBER(MATCH(BU$5, IFERROR(FILTER('MASTER LIST'!$N$2:$AB$294, 'MASTER LIST'!$A$2:$A$294=$A21), """"), 0)), ""Y"", """"))"),"")</f>
        <v/>
      </c>
      <c r="BV21" s="92" t="str">
        <f>IFERROR(__xludf.DUMMYFUNCTION("IF(OR($A21="""", BV$5=""""), """", IF(ISNUMBER(MATCH(BV$5, IFERROR(FILTER('MASTER LIST'!$N$2:$AB$294, 'MASTER LIST'!$A$2:$A$294=$A21), """"), 0)), ""Y"", """"))"),"")</f>
        <v/>
      </c>
      <c r="BW21" s="92" t="str">
        <f>IFERROR(__xludf.DUMMYFUNCTION("IF(OR($A21="""", BW$5=""""), """", IF(ISNUMBER(MATCH(BW$5, IFERROR(FILTER('MASTER LIST'!$N$2:$AB$294, 'MASTER LIST'!$A$2:$A$294=$A21), """"), 0)), ""Y"", """"))"),"")</f>
        <v/>
      </c>
      <c r="BX21" s="92" t="str">
        <f>IFERROR(__xludf.DUMMYFUNCTION("IF(OR($A21="""", BX$5=""""), """", IF(ISNUMBER(MATCH(BX$5, IFERROR(FILTER('MASTER LIST'!$N$2:$AB$294, 'MASTER LIST'!$A$2:$A$294=$A21), """"), 0)), ""Y"", """"))"),"")</f>
        <v/>
      </c>
      <c r="BY21" s="92" t="str">
        <f>IFERROR(__xludf.DUMMYFUNCTION("IF(OR($A21="""", BY$5=""""), """", IF(ISNUMBER(MATCH(BY$5, IFERROR(FILTER('MASTER LIST'!$N$2:$AB$294, 'MASTER LIST'!$A$2:$A$294=$A21), """"), 0)), ""Y"", """"))"),"")</f>
        <v/>
      </c>
      <c r="BZ21" s="92" t="str">
        <f>IFERROR(__xludf.DUMMYFUNCTION("IF(OR($A21="""", BZ$5=""""), """", IF(ISNUMBER(MATCH(BZ$5, IFERROR(FILTER('MASTER LIST'!$N$2:$AB$294, 'MASTER LIST'!$A$2:$A$294=$A21), """"), 0)), ""Y"", """"))"),"")</f>
        <v/>
      </c>
      <c r="CA21" s="92" t="str">
        <f>IFERROR(__xludf.DUMMYFUNCTION("IF(OR($A21="""", CA$5=""""), """", IF(ISNUMBER(MATCH(CA$5, IFERROR(FILTER('MASTER LIST'!$N$2:$AB$294, 'MASTER LIST'!$A$2:$A$294=$A21), """"), 0)), ""Y"", """"))"),"")</f>
        <v/>
      </c>
      <c r="CB21" s="92" t="str">
        <f>IFERROR(__xludf.DUMMYFUNCTION("IF(OR($A21="""", CB$5=""""), """", IF(ISNUMBER(MATCH(CB$5, IFERROR(FILTER('MASTER LIST'!$N$2:$AB$294, 'MASTER LIST'!$A$2:$A$294=$A21), """"), 0)), ""Y"", """"))"),"")</f>
        <v/>
      </c>
      <c r="CC21" s="92"/>
      <c r="CD21" s="92"/>
      <c r="CE21" s="92"/>
      <c r="CF21" s="92"/>
      <c r="CG21" s="92"/>
      <c r="CH21" s="92"/>
      <c r="CI21" s="92"/>
      <c r="CJ21" s="92"/>
      <c r="CK21" s="92"/>
    </row>
    <row r="22">
      <c r="A22" s="75">
        <f>IFERROR(__xludf.DUMMYFUNCTION("""COMPUTED_VALUE"""),323.0)</f>
        <v>323</v>
      </c>
      <c r="B22" s="75" t="str">
        <f>IFERROR(__xludf.DUMMYFUNCTION("""COMPUTED_VALUE"""),"MUHAMMED FAYIS TP")</f>
        <v>MUHAMMED FAYIS TP</v>
      </c>
      <c r="C22" s="75">
        <f>IFERROR(__xludf.DUMMYFUNCTION("""COMPUTED_VALUE"""),4.0)</f>
        <v>4</v>
      </c>
      <c r="D22" s="75" t="str">
        <f>IFERROR(__xludf.DUMMYFUNCTION("""COMPUTED_VALUE"""),"THĀNIYAH")</f>
        <v>THĀNIYAH</v>
      </c>
      <c r="E22" s="75" t="str">
        <f>IFERROR(__xludf.DUMMYFUNCTION("""COMPUTED_VALUE"""),"TEAM C")</f>
        <v>TEAM C</v>
      </c>
      <c r="F22" s="75" t="str">
        <f>IFERROR(__xludf.DUMMYFUNCTION("""COMPUTED_VALUE"""),"Min 1 Required (Stage &amp; Non-Stage)")</f>
        <v>Min 1 Required (Stage &amp; Non-Stage)</v>
      </c>
      <c r="G22" s="92" t="str">
        <f>IFERROR(__xludf.DUMMYFUNCTION("IF(OR($A22="""", G$5=""""), """", IF(ISNUMBER(MATCH(G$5, IFERROR(FILTER('MASTER LIST'!$N$2:$AB$294, 'MASTER LIST'!$A$2:$A$294=$A22), """"), 0)), ""Y"", """"))"),"")</f>
        <v/>
      </c>
      <c r="J22" s="92" t="str">
        <f>IFERROR(__xludf.DUMMYFUNCTION("IF(OR($A22="""", J$5=""""), """", IF(ISNUMBER(MATCH(J$5, IFERROR(FILTER('MASTER LIST'!$N$2:$AB$294, 'MASTER LIST'!$A$2:$A$294=$A22), """"), 0)), ""Y"", """"))"),"")</f>
        <v/>
      </c>
      <c r="K22" s="92" t="str">
        <f>IFERROR(__xludf.DUMMYFUNCTION("IF(OR($A22="""", K$5=""""), """", IF(ISNUMBER(MATCH(K$5, IFERROR(FILTER('MASTER LIST'!$N$2:$AB$294, 'MASTER LIST'!$A$2:$A$294=$A22), """"), 0)), ""Y"", """"))"),"")</f>
        <v/>
      </c>
      <c r="L22" s="92" t="str">
        <f>IFERROR(__xludf.DUMMYFUNCTION("IF(OR($A22="""", L$5=""""), """", IF(ISNUMBER(MATCH(L$5, IFERROR(FILTER('MASTER LIST'!$N$2:$AB$294, 'MASTER LIST'!$A$2:$A$294=$A22), """"), 0)), ""Y"", """"))"),"")</f>
        <v/>
      </c>
      <c r="M22" s="92" t="str">
        <f>IFERROR(__xludf.DUMMYFUNCTION("IF(OR($A22="""", M$5=""""), """", IF(ISNUMBER(MATCH(M$5, IFERROR(FILTER('MASTER LIST'!$N$2:$AB$294, 'MASTER LIST'!$A$2:$A$294=$A22), """"), 0)), ""Y"", """"))"),"")</f>
        <v/>
      </c>
      <c r="N22" s="92" t="str">
        <f>IFERROR(__xludf.DUMMYFUNCTION("IF(OR($A22="""", N$5=""""), """", IF(ISNUMBER(MATCH(N$5, IFERROR(FILTER('MASTER LIST'!$N$2:$AB$294, 'MASTER LIST'!$A$2:$A$294=$A22), """"), 0)), ""Y"", """"))"),"")</f>
        <v/>
      </c>
      <c r="O22" s="92" t="str">
        <f>IFERROR(__xludf.DUMMYFUNCTION("IF(OR($A22="""", O$5=""""), """", IF(ISNUMBER(MATCH(O$5, IFERROR(FILTER('MASTER LIST'!$N$2:$AB$294, 'MASTER LIST'!$A$2:$A$294=$A22), """"), 0)), ""Y"", """"))"),"")</f>
        <v/>
      </c>
      <c r="P22" s="92" t="str">
        <f>IFERROR(__xludf.DUMMYFUNCTION("IF(OR($A22="""", P$5=""""), """", IF(ISNUMBER(MATCH(P$5, IFERROR(FILTER('MASTER LIST'!$N$2:$AB$294, 'MASTER LIST'!$A$2:$A$294=$A22), """"), 0)), ""Y"", """"))"),"")</f>
        <v/>
      </c>
      <c r="Q22" s="92" t="str">
        <f>IFERROR(__xludf.DUMMYFUNCTION("IF(OR($A22="""", Q$5=""""), """", IF(ISNUMBER(MATCH(Q$5, IFERROR(FILTER('MASTER LIST'!$N$2:$AB$294, 'MASTER LIST'!$A$2:$A$294=$A22), """"), 0)), ""Y"", """"))"),"")</f>
        <v/>
      </c>
      <c r="R22" s="92" t="str">
        <f>IFERROR(__xludf.DUMMYFUNCTION("IF(OR($A22="""", R$5=""""), """", IF(ISNUMBER(MATCH(R$5, IFERROR(FILTER('MASTER LIST'!$N$2:$AB$294, 'MASTER LIST'!$A$2:$A$294=$A22), """"), 0)), ""Y"", """"))"),"")</f>
        <v/>
      </c>
      <c r="S22" s="92" t="str">
        <f>IFERROR(__xludf.DUMMYFUNCTION("IF(OR($A22="""", S$5=""""), """", IF(ISNUMBER(MATCH(S$5, IFERROR(FILTER('MASTER LIST'!$N$2:$AB$294, 'MASTER LIST'!$A$2:$A$294=$A22), """"), 0)), ""Y"", """"))"),"")</f>
        <v/>
      </c>
      <c r="T22" s="92" t="str">
        <f>IFERROR(__xludf.DUMMYFUNCTION("IF(OR($A22="""", T$5=""""), """", IF(ISNUMBER(MATCH(T$5, IFERROR(FILTER('MASTER LIST'!$N$2:$AB$294, 'MASTER LIST'!$A$2:$A$294=$A22), """"), 0)), ""Y"", """"))"),"")</f>
        <v/>
      </c>
      <c r="U22" s="92" t="str">
        <f>IFERROR(__xludf.DUMMYFUNCTION("IF(OR($A22="""", U$5=""""), """", IF(ISNUMBER(MATCH(U$5, IFERROR(FILTER('MASTER LIST'!$N$2:$AB$294, 'MASTER LIST'!$A$2:$A$294=$A22), """"), 0)), ""Y"", """"))"),"")</f>
        <v/>
      </c>
      <c r="V22" s="92" t="str">
        <f>IFERROR(__xludf.DUMMYFUNCTION("IF(OR($A22="""", V$5=""""), """", IF(ISNUMBER(MATCH(V$5, IFERROR(FILTER('MASTER LIST'!$N$2:$AB$294, 'MASTER LIST'!$A$2:$A$294=$A22), """"), 0)), ""Y"", """"))"),"")</f>
        <v/>
      </c>
      <c r="W22" s="92" t="str">
        <f>IFERROR(__xludf.DUMMYFUNCTION("IF(OR($A22="""", W$5=""""), """", IF(ISNUMBER(MATCH(W$5, IFERROR(FILTER('MASTER LIST'!$N$2:$AB$294, 'MASTER LIST'!$A$2:$A$294=$A22), """"), 0)), ""Y"", """"))"),"")</f>
        <v/>
      </c>
      <c r="X22" s="92" t="str">
        <f>IFERROR(__xludf.DUMMYFUNCTION("IF(OR($A22="""", X$5=""""), """", IF(ISNUMBER(MATCH(X$5, IFERROR(FILTER('MASTER LIST'!$N$2:$AB$294, 'MASTER LIST'!$A$2:$A$294=$A22), """"), 0)), ""Y"", """"))"),"")</f>
        <v/>
      </c>
      <c r="Y22" s="92" t="str">
        <f>IFERROR(__xludf.DUMMYFUNCTION("IF(OR($A22="""", Y$5=""""), """", IF(ISNUMBER(MATCH(Y$5, IFERROR(FILTER('MASTER LIST'!$N$2:$AB$294, 'MASTER LIST'!$A$2:$A$294=$A22), """"), 0)), ""Y"", """"))"),"")</f>
        <v/>
      </c>
      <c r="Z22" s="92" t="str">
        <f>IFERROR(__xludf.DUMMYFUNCTION("IF(OR($A22="""", Z$5=""""), """", IF(ISNUMBER(MATCH(Z$5, IFERROR(FILTER('MASTER LIST'!$N$2:$AB$294, 'MASTER LIST'!$A$2:$A$294=$A22), """"), 0)), ""Y"", """"))"),"")</f>
        <v/>
      </c>
      <c r="AA22" s="92" t="str">
        <f>IFERROR(__xludf.DUMMYFUNCTION("IF(OR($A22="""", AA$5=""""), """", IF(ISNUMBER(MATCH(AA$5, IFERROR(FILTER('MASTER LIST'!$N$2:$AB$294, 'MASTER LIST'!$A$2:$A$294=$A22), """"), 0)), ""Y"", """"))"),"")</f>
        <v/>
      </c>
      <c r="AB22" s="92" t="str">
        <f>IFERROR(__xludf.DUMMYFUNCTION("IF(OR($A22="""", AB$5=""""), """", IF(ISNUMBER(MATCH(AB$5, IFERROR(FILTER('MASTER LIST'!$N$2:$AB$294, 'MASTER LIST'!$A$2:$A$294=$A22), """"), 0)), ""Y"", """"))"),"")</f>
        <v/>
      </c>
      <c r="AC22" s="92" t="str">
        <f>IFERROR(__xludf.DUMMYFUNCTION("IF(OR($A22="""", AC$5=""""), """", IF(ISNUMBER(MATCH(AC$5, IFERROR(FILTER('MASTER LIST'!$N$2:$AB$294, 'MASTER LIST'!$A$2:$A$294=$A22), """"), 0)), ""Y"", """"))"),"")</f>
        <v/>
      </c>
      <c r="AD22" s="92" t="str">
        <f>IFERROR(__xludf.DUMMYFUNCTION("IF(OR($A22="""", AD$5=""""), """", IF(ISNUMBER(MATCH(AD$5, IFERROR(FILTER('MASTER LIST'!$N$2:$AB$294, 'MASTER LIST'!$A$2:$A$294=$A22), """"), 0)), ""Y"", """"))"),"")</f>
        <v/>
      </c>
      <c r="AE22" s="92" t="str">
        <f>IFERROR(__xludf.DUMMYFUNCTION("IF(OR($A22="""", AE$5=""""), """", IF(ISNUMBER(MATCH(AE$5, IFERROR(FILTER('MASTER LIST'!$N$2:$AB$294, 'MASTER LIST'!$A$2:$A$294=$A22), """"), 0)), ""Y"", """"))"),"")</f>
        <v/>
      </c>
      <c r="AF22" s="92" t="str">
        <f>IFERROR(__xludf.DUMMYFUNCTION("IF(OR($A22="""", AF$5=""""), """", IF(ISNUMBER(MATCH(AF$5, IFERROR(FILTER('MASTER LIST'!$N$2:$AB$294, 'MASTER LIST'!$A$2:$A$294=$A22), """"), 0)), ""Y"", """"))"),"")</f>
        <v/>
      </c>
      <c r="AG22" s="92" t="str">
        <f>IFERROR(__xludf.DUMMYFUNCTION("IF(OR($A22="""", AG$5=""""), """", IF(ISNUMBER(MATCH(AG$5, IFERROR(FILTER('MASTER LIST'!$N$2:$AB$294, 'MASTER LIST'!$A$2:$A$294=$A22), """"), 0)), ""Y"", """"))"),"")</f>
        <v/>
      </c>
      <c r="AH22" s="92" t="str">
        <f>IFERROR(__xludf.DUMMYFUNCTION("IF(OR($A22="""", AH$5=""""), """", IF(ISNUMBER(MATCH(AH$5, IFERROR(FILTER('MASTER LIST'!$N$2:$AB$294, 'MASTER LIST'!$A$2:$A$294=$A22), """"), 0)), ""Y"", """"))"),"")</f>
        <v/>
      </c>
      <c r="AI22" s="92" t="str">
        <f>IFERROR(__xludf.DUMMYFUNCTION("IF(OR($A22="""", AI$5=""""), """", IF(ISNUMBER(MATCH(AI$5, IFERROR(FILTER('MASTER LIST'!$N$2:$AB$294, 'MASTER LIST'!$A$2:$A$294=$A22), """"), 0)), ""Y"", """"))"),"")</f>
        <v/>
      </c>
      <c r="AJ22" s="92" t="str">
        <f>IFERROR(__xludf.DUMMYFUNCTION("IF(OR($A22="""", AJ$5=""""), """", IF(ISNUMBER(MATCH(AJ$5, IFERROR(FILTER('MASTER LIST'!$N$2:$AB$294, 'MASTER LIST'!$A$2:$A$294=$A22), """"), 0)), ""Y"", """"))"),"")</f>
        <v/>
      </c>
      <c r="AK22" s="92" t="str">
        <f>IFERROR(__xludf.DUMMYFUNCTION("IF(OR($A22="""", AK$5=""""), """", IF(ISNUMBER(MATCH(AK$5, IFERROR(FILTER('MASTER LIST'!$N$2:$AB$294, 'MASTER LIST'!$A$2:$A$294=$A22), """"), 0)), ""Y"", """"))"),"")</f>
        <v/>
      </c>
      <c r="AL22" s="92" t="str">
        <f>IFERROR(__xludf.DUMMYFUNCTION("IF(OR($A22="""", AL$5=""""), """", IF(ISNUMBER(MATCH(AL$5, IFERROR(FILTER('MASTER LIST'!$N$2:$AB$294, 'MASTER LIST'!$A$2:$A$294=$A22), """"), 0)), ""Y"", """"))"),"")</f>
        <v/>
      </c>
      <c r="AM22" s="92" t="str">
        <f>IFERROR(__xludf.DUMMYFUNCTION("IF(OR($A22="""", AM$5=""""), """", IF(ISNUMBER(MATCH(AM$5, IFERROR(FILTER('MASTER LIST'!$N$2:$AB$294, 'MASTER LIST'!$A$2:$A$294=$A22), """"), 0)), ""Y"", """"))"),"")</f>
        <v/>
      </c>
      <c r="AN22" s="92" t="str">
        <f>IFERROR(__xludf.DUMMYFUNCTION("IF(OR($A22="""", AN$5=""""), """", IF(ISNUMBER(MATCH(AN$5, IFERROR(FILTER('MASTER LIST'!$N$2:$AB$294, 'MASTER LIST'!$A$2:$A$294=$A22), """"), 0)), ""Y"", """"))"),"")</f>
        <v/>
      </c>
      <c r="AO22" s="92" t="str">
        <f>IFERROR(__xludf.DUMMYFUNCTION("IF(OR($A22="""", AO$5=""""), """", IF(ISNUMBER(MATCH(AO$5, IFERROR(FILTER('MASTER LIST'!$N$2:$AB$294, 'MASTER LIST'!$A$2:$A$294=$A22), """"), 0)), ""Y"", """"))"),"")</f>
        <v/>
      </c>
      <c r="AP22" s="92" t="str">
        <f>IFERROR(__xludf.DUMMYFUNCTION("IF(OR($A22="""", AP$5=""""), """", IF(ISNUMBER(MATCH(AP$5, IFERROR(FILTER('MASTER LIST'!$N$2:$AB$294, 'MASTER LIST'!$A$2:$A$294=$A22), """"), 0)), ""Y"", """"))"),"")</f>
        <v/>
      </c>
      <c r="AQ22" s="92" t="str">
        <f>IFERROR(__xludf.DUMMYFUNCTION("IF(OR($A22="""", AQ$5=""""), """", IF(ISNUMBER(MATCH(AQ$5, IFERROR(FILTER('MASTER LIST'!$N$2:$AB$294, 'MASTER LIST'!$A$2:$A$294=$A22), """"), 0)), ""Y"", """"))"),"")</f>
        <v/>
      </c>
      <c r="AR22" s="92" t="str">
        <f>IFERROR(__xludf.DUMMYFUNCTION("IF(OR($A22="""", AR$5=""""), """", IF(ISNUMBER(MATCH(AR$5, IFERROR(FILTER('MASTER LIST'!$N$2:$AB$294, 'MASTER LIST'!$A$2:$A$294=$A22), """"), 0)), ""Y"", """"))"),"")</f>
        <v/>
      </c>
      <c r="AS22" s="92" t="str">
        <f>IFERROR(__xludf.DUMMYFUNCTION("IF(OR($A22="""", AS$5=""""), """", IF(ISNUMBER(MATCH(AS$5, IFERROR(FILTER('MASTER LIST'!$N$2:$AB$294, 'MASTER LIST'!$A$2:$A$294=$A22), """"), 0)), ""Y"", """"))"),"")</f>
        <v/>
      </c>
      <c r="AT22" s="92" t="str">
        <f>IFERROR(__xludf.DUMMYFUNCTION("IF(OR($A22="""", AT$5=""""), """", IF(ISNUMBER(MATCH(AT$5, IFERROR(FILTER('MASTER LIST'!$N$2:$AB$294, 'MASTER LIST'!$A$2:$A$294=$A22), """"), 0)), ""Y"", """"))"),"")</f>
        <v/>
      </c>
      <c r="AU22" s="92" t="str">
        <f>IFERROR(__xludf.DUMMYFUNCTION("IF(OR($A22="""", AU$5=""""), """", IF(ISNUMBER(MATCH(AU$5, IFERROR(FILTER('MASTER LIST'!$N$2:$AB$294, 'MASTER LIST'!$A$2:$A$294=$A22), """"), 0)), ""Y"", """"))"),"")</f>
        <v/>
      </c>
      <c r="AV22" s="92" t="str">
        <f>IFERROR(__xludf.DUMMYFUNCTION("IF(OR($A22="""", AV$5=""""), """", IF(ISNUMBER(MATCH(AV$5, IFERROR(FILTER('MASTER LIST'!$N$2:$AB$294, 'MASTER LIST'!$A$2:$A$294=$A22), """"), 0)), ""Y"", """"))"),"")</f>
        <v/>
      </c>
      <c r="AW22" s="92" t="str">
        <f>IFERROR(__xludf.DUMMYFUNCTION("IF(OR($A22="""", AW$5=""""), """", IF(ISNUMBER(MATCH(AW$5, IFERROR(FILTER('MASTER LIST'!$N$2:$AB$294, 'MASTER LIST'!$A$2:$A$294=$A22), """"), 0)), ""Y"", """"))"),"")</f>
        <v/>
      </c>
      <c r="AX22" s="92" t="str">
        <f>IFERROR(__xludf.DUMMYFUNCTION("IF(OR($A22="""", AX$5=""""), """", IF(ISNUMBER(MATCH(AX$5, IFERROR(FILTER('MASTER LIST'!$N$2:$AB$294, 'MASTER LIST'!$A$2:$A$294=$A22), """"), 0)), ""Y"", """"))"),"")</f>
        <v/>
      </c>
      <c r="AY22" s="92" t="str">
        <f>IFERROR(__xludf.DUMMYFUNCTION("IF(OR($A22="""", AY$5=""""), """", IF(ISNUMBER(MATCH(AY$5, IFERROR(FILTER('MASTER LIST'!$N$2:$AB$294, 'MASTER LIST'!$A$2:$A$294=$A22), """"), 0)), ""Y"", """"))"),"")</f>
        <v/>
      </c>
      <c r="AZ22" s="92" t="str">
        <f>IFERROR(__xludf.DUMMYFUNCTION("IF(OR($A22="""", AZ$5=""""), """", IF(ISNUMBER(MATCH(AZ$5, IFERROR(FILTER('MASTER LIST'!$N$2:$AB$294, 'MASTER LIST'!$A$2:$A$294=$A22), """"), 0)), ""Y"", """"))"),"")</f>
        <v/>
      </c>
      <c r="BA22" s="92" t="str">
        <f>IFERROR(__xludf.DUMMYFUNCTION("IF(OR($A22="""", BA$5=""""), """", IF(ISNUMBER(MATCH(BA$5, IFERROR(FILTER('MASTER LIST'!$N$2:$AB$294, 'MASTER LIST'!$A$2:$A$294=$A22), """"), 0)), ""Y"", """"))"),"")</f>
        <v/>
      </c>
      <c r="BB22" s="92" t="str">
        <f>IFERROR(__xludf.DUMMYFUNCTION("IF(OR($A22="""", BB$5=""""), """", IF(ISNUMBER(MATCH(BB$5, IFERROR(FILTER('MASTER LIST'!$N$2:$AB$294, 'MASTER LIST'!$A$2:$A$294=$A22), """"), 0)), ""Y"", """"))"),"")</f>
        <v/>
      </c>
      <c r="BC22" s="92" t="str">
        <f>IFERROR(__xludf.DUMMYFUNCTION("IF(OR($A22="""", BC$5=""""), """", IF(ISNUMBER(MATCH(BC$5, IFERROR(FILTER('MASTER LIST'!$N$2:$AB$294, 'MASTER LIST'!$A$2:$A$294=$A22), """"), 0)), ""Y"", """"))"),"")</f>
        <v/>
      </c>
      <c r="BD22" s="92" t="str">
        <f>IFERROR(__xludf.DUMMYFUNCTION("IF(OR($A22="""", BD$5=""""), """", IF(ISNUMBER(MATCH(BD$5, IFERROR(FILTER('MASTER LIST'!$N$2:$AB$294, 'MASTER LIST'!$A$2:$A$294=$A22), """"), 0)), ""Y"", """"))"),"")</f>
        <v/>
      </c>
      <c r="BE22" s="92" t="str">
        <f>IFERROR(__xludf.DUMMYFUNCTION("IF(OR($A22="""", BE$5=""""), """", IF(ISNUMBER(MATCH(BE$5, IFERROR(FILTER('MASTER LIST'!$N$2:$AB$294, 'MASTER LIST'!$A$2:$A$294=$A22), """"), 0)), ""Y"", """"))"),"")</f>
        <v/>
      </c>
      <c r="BF22" s="92" t="str">
        <f>IFERROR(__xludf.DUMMYFUNCTION("IF(OR($A22="""", BF$5=""""), """", IF(ISNUMBER(MATCH(BF$5, IFERROR(FILTER('MASTER LIST'!$N$2:$AB$294, 'MASTER LIST'!$A$2:$A$294=$A22), """"), 0)), ""Y"", """"))"),"")</f>
        <v/>
      </c>
      <c r="BG22" s="92" t="str">
        <f>IFERROR(__xludf.DUMMYFUNCTION("IF(OR($A22="""", BG$5=""""), """", IF(ISNUMBER(MATCH(BG$5, IFERROR(FILTER('MASTER LIST'!$N$2:$AB$294, 'MASTER LIST'!$A$2:$A$294=$A22), """"), 0)), ""Y"", """"))"),"")</f>
        <v/>
      </c>
      <c r="BH22" s="92" t="str">
        <f>IFERROR(__xludf.DUMMYFUNCTION("IF(OR($A22="""", BH$5=""""), """", IF(ISNUMBER(MATCH(BH$5, IFERROR(FILTER('MASTER LIST'!$N$2:$AB$294, 'MASTER LIST'!$A$2:$A$294=$A22), """"), 0)), ""Y"", """"))"),"")</f>
        <v/>
      </c>
      <c r="BI22" s="92" t="str">
        <f>IFERROR(__xludf.DUMMYFUNCTION("IF(OR($A22="""", BI$5=""""), """", IF(ISNUMBER(MATCH(BI$5, IFERROR(FILTER('MASTER LIST'!$N$2:$AB$294, 'MASTER LIST'!$A$2:$A$294=$A22), """"), 0)), ""Y"", """"))"),"")</f>
        <v/>
      </c>
      <c r="BJ22" s="92" t="str">
        <f>IFERROR(__xludf.DUMMYFUNCTION("IF(OR($A22="""", BJ$5=""""), """", IF(ISNUMBER(MATCH(BJ$5, IFERROR(FILTER('MASTER LIST'!$N$2:$AB$294, 'MASTER LIST'!$A$2:$A$294=$A22), """"), 0)), ""Y"", """"))"),"")</f>
        <v/>
      </c>
      <c r="BK22" s="92" t="str">
        <f>IFERROR(__xludf.DUMMYFUNCTION("IF(OR($A22="""", BK$5=""""), """", IF(ISNUMBER(MATCH(BK$5, IFERROR(FILTER('MASTER LIST'!$N$2:$AB$294, 'MASTER LIST'!$A$2:$A$294=$A22), """"), 0)), ""Y"", """"))"),"")</f>
        <v/>
      </c>
      <c r="BL22" s="92" t="str">
        <f>IFERROR(__xludf.DUMMYFUNCTION("IF(OR($A22="""", BL$5=""""), """", IF(ISNUMBER(MATCH(BL$5, IFERROR(FILTER('MASTER LIST'!$N$2:$AB$294, 'MASTER LIST'!$A$2:$A$294=$A22), """"), 0)), ""Y"", """"))"),"")</f>
        <v/>
      </c>
      <c r="BM22" s="92" t="str">
        <f>IFERROR(__xludf.DUMMYFUNCTION("IF(OR($A22="""", BM$5=""""), """", IF(ISNUMBER(MATCH(BM$5, IFERROR(FILTER('MASTER LIST'!$N$2:$AB$294, 'MASTER LIST'!$A$2:$A$294=$A22), """"), 0)), ""Y"", """"))"),"")</f>
        <v/>
      </c>
      <c r="BN22" s="92" t="str">
        <f>IFERROR(__xludf.DUMMYFUNCTION("IF(OR($A22="""", BN$5=""""), """", IF(ISNUMBER(MATCH(BN$5, IFERROR(FILTER('MASTER LIST'!$N$2:$AB$294, 'MASTER LIST'!$A$2:$A$294=$A22), """"), 0)), ""Y"", """"))"),"")</f>
        <v/>
      </c>
      <c r="BO22" s="92" t="str">
        <f>IFERROR(__xludf.DUMMYFUNCTION("IF(OR($A22="""", BO$5=""""), """", IF(ISNUMBER(MATCH(BO$5, IFERROR(FILTER('MASTER LIST'!$N$2:$AB$294, 'MASTER LIST'!$A$2:$A$294=$A22), """"), 0)), ""Y"", """"))"),"")</f>
        <v/>
      </c>
      <c r="BP22" s="92" t="str">
        <f>IFERROR(__xludf.DUMMYFUNCTION("IF(OR($A22="""", BP$5=""""), """", IF(ISNUMBER(MATCH(BP$5, IFERROR(FILTER('MASTER LIST'!$N$2:$AB$294, 'MASTER LIST'!$A$2:$A$294=$A22), """"), 0)), ""Y"", """"))"),"")</f>
        <v/>
      </c>
      <c r="BQ22" s="92" t="str">
        <f>IFERROR(__xludf.DUMMYFUNCTION("IF(OR($A22="""", BQ$5=""""), """", IF(ISNUMBER(MATCH(BQ$5, IFERROR(FILTER('MASTER LIST'!$N$2:$AB$294, 'MASTER LIST'!$A$2:$A$294=$A22), """"), 0)), ""Y"", """"))"),"")</f>
        <v/>
      </c>
      <c r="BR22" s="92" t="str">
        <f>IFERROR(__xludf.DUMMYFUNCTION("IF(OR($A22="""", BR$5=""""), """", IF(ISNUMBER(MATCH(BR$5, IFERROR(FILTER('MASTER LIST'!$N$2:$AB$294, 'MASTER LIST'!$A$2:$A$294=$A22), """"), 0)), ""Y"", """"))"),"")</f>
        <v/>
      </c>
      <c r="BS22" s="92" t="str">
        <f>IFERROR(__xludf.DUMMYFUNCTION("IF(OR($A22="""", BS$5=""""), """", IF(ISNUMBER(MATCH(BS$5, IFERROR(FILTER('MASTER LIST'!$N$2:$AB$294, 'MASTER LIST'!$A$2:$A$294=$A22), """"), 0)), ""Y"", """"))"),"")</f>
        <v/>
      </c>
      <c r="BT22" s="92" t="str">
        <f>IFERROR(__xludf.DUMMYFUNCTION("IF(OR($A22="""", BT$5=""""), """", IF(ISNUMBER(MATCH(BT$5, IFERROR(FILTER('MASTER LIST'!$N$2:$AB$294, 'MASTER LIST'!$A$2:$A$294=$A22), """"), 0)), ""Y"", """"))"),"")</f>
        <v/>
      </c>
      <c r="BU22" s="92" t="str">
        <f>IFERROR(__xludf.DUMMYFUNCTION("IF(OR($A22="""", BU$5=""""), """", IF(ISNUMBER(MATCH(BU$5, IFERROR(FILTER('MASTER LIST'!$N$2:$AB$294, 'MASTER LIST'!$A$2:$A$294=$A22), """"), 0)), ""Y"", """"))"),"")</f>
        <v/>
      </c>
      <c r="BV22" s="92" t="str">
        <f>IFERROR(__xludf.DUMMYFUNCTION("IF(OR($A22="""", BV$5=""""), """", IF(ISNUMBER(MATCH(BV$5, IFERROR(FILTER('MASTER LIST'!$N$2:$AB$294, 'MASTER LIST'!$A$2:$A$294=$A22), """"), 0)), ""Y"", """"))"),"")</f>
        <v/>
      </c>
      <c r="BW22" s="92" t="str">
        <f>IFERROR(__xludf.DUMMYFUNCTION("IF(OR($A22="""", BW$5=""""), """", IF(ISNUMBER(MATCH(BW$5, IFERROR(FILTER('MASTER LIST'!$N$2:$AB$294, 'MASTER LIST'!$A$2:$A$294=$A22), """"), 0)), ""Y"", """"))"),"")</f>
        <v/>
      </c>
      <c r="BX22" s="92" t="str">
        <f>IFERROR(__xludf.DUMMYFUNCTION("IF(OR($A22="""", BX$5=""""), """", IF(ISNUMBER(MATCH(BX$5, IFERROR(FILTER('MASTER LIST'!$N$2:$AB$294, 'MASTER LIST'!$A$2:$A$294=$A22), """"), 0)), ""Y"", """"))"),"")</f>
        <v/>
      </c>
      <c r="BY22" s="92" t="str">
        <f>IFERROR(__xludf.DUMMYFUNCTION("IF(OR($A22="""", BY$5=""""), """", IF(ISNUMBER(MATCH(BY$5, IFERROR(FILTER('MASTER LIST'!$N$2:$AB$294, 'MASTER LIST'!$A$2:$A$294=$A22), """"), 0)), ""Y"", """"))"),"")</f>
        <v/>
      </c>
      <c r="BZ22" s="92" t="str">
        <f>IFERROR(__xludf.DUMMYFUNCTION("IF(OR($A22="""", BZ$5=""""), """", IF(ISNUMBER(MATCH(BZ$5, IFERROR(FILTER('MASTER LIST'!$N$2:$AB$294, 'MASTER LIST'!$A$2:$A$294=$A22), """"), 0)), ""Y"", """"))"),"")</f>
        <v/>
      </c>
      <c r="CA22" s="92" t="str">
        <f>IFERROR(__xludf.DUMMYFUNCTION("IF(OR($A22="""", CA$5=""""), """", IF(ISNUMBER(MATCH(CA$5, IFERROR(FILTER('MASTER LIST'!$N$2:$AB$294, 'MASTER LIST'!$A$2:$A$294=$A22), """"), 0)), ""Y"", """"))"),"")</f>
        <v/>
      </c>
      <c r="CB22" s="92" t="str">
        <f>IFERROR(__xludf.DUMMYFUNCTION("IF(OR($A22="""", CB$5=""""), """", IF(ISNUMBER(MATCH(CB$5, IFERROR(FILTER('MASTER LIST'!$N$2:$AB$294, 'MASTER LIST'!$A$2:$A$294=$A22), """"), 0)), ""Y"", """"))"),"")</f>
        <v/>
      </c>
      <c r="CC22" s="92"/>
      <c r="CD22" s="92"/>
      <c r="CE22" s="92"/>
      <c r="CF22" s="92"/>
      <c r="CG22" s="92"/>
      <c r="CH22" s="92"/>
      <c r="CI22" s="92"/>
      <c r="CJ22" s="92"/>
      <c r="CK22" s="92"/>
    </row>
    <row r="23">
      <c r="A23" s="75">
        <f>IFERROR(__xludf.DUMMYFUNCTION("""COMPUTED_VALUE"""),352.0)</f>
        <v>352</v>
      </c>
      <c r="B23" s="75" t="str">
        <f>IFERROR(__xludf.DUMMYFUNCTION("""COMPUTED_VALUE"""),"ALTHAF MUHAMMED C")</f>
        <v>ALTHAF MUHAMMED C</v>
      </c>
      <c r="C23" s="75">
        <f>IFERROR(__xludf.DUMMYFUNCTION("""COMPUTED_VALUE"""),4.0)</f>
        <v>4</v>
      </c>
      <c r="D23" s="75" t="str">
        <f>IFERROR(__xludf.DUMMYFUNCTION("""COMPUTED_VALUE"""),"THĀNIYAH")</f>
        <v>THĀNIYAH</v>
      </c>
      <c r="E23" s="75" t="str">
        <f>IFERROR(__xludf.DUMMYFUNCTION("""COMPUTED_VALUE"""),"TEAM C")</f>
        <v>TEAM C</v>
      </c>
      <c r="F23" s="75" t="str">
        <f>IFERROR(__xludf.DUMMYFUNCTION("""COMPUTED_VALUE"""),"Min 1 Required (Stage &amp; Non-Stage)")</f>
        <v>Min 1 Required (Stage &amp; Non-Stage)</v>
      </c>
      <c r="G23" s="92" t="str">
        <f>IFERROR(__xludf.DUMMYFUNCTION("IF(OR($A23="""", G$5=""""), """", IF(ISNUMBER(MATCH(G$5, IFERROR(FILTER('MASTER LIST'!$N$2:$AB$294, 'MASTER LIST'!$A$2:$A$294=$A23), """"), 0)), ""Y"", """"))"),"")</f>
        <v/>
      </c>
      <c r="H23" s="92" t="str">
        <f>IFERROR(__xludf.DUMMYFUNCTION("IF(OR($A23="""", H$5=""""), """", IF(ISNUMBER(MATCH(H$5, IFERROR(FILTER('MASTER LIST'!$N$2:$AB$294, 'MASTER LIST'!$A$2:$A$294=$A23), """"), 0)), ""Y"", """"))"),"")</f>
        <v/>
      </c>
      <c r="J23" s="92" t="str">
        <f>IFERROR(__xludf.DUMMYFUNCTION("IF(OR($A23="""", J$5=""""), """", IF(ISNUMBER(MATCH(J$5, IFERROR(FILTER('MASTER LIST'!$N$2:$AB$294, 'MASTER LIST'!$A$2:$A$294=$A23), """"), 0)), ""Y"", """"))"),"")</f>
        <v/>
      </c>
      <c r="K23" s="92" t="str">
        <f>IFERROR(__xludf.DUMMYFUNCTION("IF(OR($A23="""", K$5=""""), """", IF(ISNUMBER(MATCH(K$5, IFERROR(FILTER('MASTER LIST'!$N$2:$AB$294, 'MASTER LIST'!$A$2:$A$294=$A23), """"), 0)), ""Y"", """"))"),"")</f>
        <v/>
      </c>
      <c r="L23" s="92" t="str">
        <f>IFERROR(__xludf.DUMMYFUNCTION("IF(OR($A23="""", L$5=""""), """", IF(ISNUMBER(MATCH(L$5, IFERROR(FILTER('MASTER LIST'!$N$2:$AB$294, 'MASTER LIST'!$A$2:$A$294=$A23), """"), 0)), ""Y"", """"))"),"")</f>
        <v/>
      </c>
      <c r="M23" s="92" t="str">
        <f>IFERROR(__xludf.DUMMYFUNCTION("IF(OR($A23="""", M$5=""""), """", IF(ISNUMBER(MATCH(M$5, IFERROR(FILTER('MASTER LIST'!$N$2:$AB$294, 'MASTER LIST'!$A$2:$A$294=$A23), """"), 0)), ""Y"", """"))"),"")</f>
        <v/>
      </c>
      <c r="N23" s="92" t="str">
        <f>IFERROR(__xludf.DUMMYFUNCTION("IF(OR($A23="""", N$5=""""), """", IF(ISNUMBER(MATCH(N$5, IFERROR(FILTER('MASTER LIST'!$N$2:$AB$294, 'MASTER LIST'!$A$2:$A$294=$A23), """"), 0)), ""Y"", """"))"),"")</f>
        <v/>
      </c>
      <c r="O23" s="92" t="str">
        <f>IFERROR(__xludf.DUMMYFUNCTION("IF(OR($A23="""", O$5=""""), """", IF(ISNUMBER(MATCH(O$5, IFERROR(FILTER('MASTER LIST'!$N$2:$AB$294, 'MASTER LIST'!$A$2:$A$294=$A23), """"), 0)), ""Y"", """"))"),"")</f>
        <v/>
      </c>
      <c r="P23" s="92" t="str">
        <f>IFERROR(__xludf.DUMMYFUNCTION("IF(OR($A23="""", P$5=""""), """", IF(ISNUMBER(MATCH(P$5, IFERROR(FILTER('MASTER LIST'!$N$2:$AB$294, 'MASTER LIST'!$A$2:$A$294=$A23), """"), 0)), ""Y"", """"))"),"")</f>
        <v/>
      </c>
      <c r="Q23" s="92" t="str">
        <f>IFERROR(__xludf.DUMMYFUNCTION("IF(OR($A23="""", Q$5=""""), """", IF(ISNUMBER(MATCH(Q$5, IFERROR(FILTER('MASTER LIST'!$N$2:$AB$294, 'MASTER LIST'!$A$2:$A$294=$A23), """"), 0)), ""Y"", """"))"),"")</f>
        <v/>
      </c>
      <c r="R23" s="92" t="str">
        <f>IFERROR(__xludf.DUMMYFUNCTION("IF(OR($A23="""", R$5=""""), """", IF(ISNUMBER(MATCH(R$5, IFERROR(FILTER('MASTER LIST'!$N$2:$AB$294, 'MASTER LIST'!$A$2:$A$294=$A23), """"), 0)), ""Y"", """"))"),"")</f>
        <v/>
      </c>
      <c r="S23" s="92" t="str">
        <f>IFERROR(__xludf.DUMMYFUNCTION("IF(OR($A23="""", S$5=""""), """", IF(ISNUMBER(MATCH(S$5, IFERROR(FILTER('MASTER LIST'!$N$2:$AB$294, 'MASTER LIST'!$A$2:$A$294=$A23), """"), 0)), ""Y"", """"))"),"")</f>
        <v/>
      </c>
      <c r="T23" s="92" t="str">
        <f>IFERROR(__xludf.DUMMYFUNCTION("IF(OR($A23="""", T$5=""""), """", IF(ISNUMBER(MATCH(T$5, IFERROR(FILTER('MASTER LIST'!$N$2:$AB$294, 'MASTER LIST'!$A$2:$A$294=$A23), """"), 0)), ""Y"", """"))"),"")</f>
        <v/>
      </c>
      <c r="U23" s="92" t="str">
        <f>IFERROR(__xludf.DUMMYFUNCTION("IF(OR($A23="""", U$5=""""), """", IF(ISNUMBER(MATCH(U$5, IFERROR(FILTER('MASTER LIST'!$N$2:$AB$294, 'MASTER LIST'!$A$2:$A$294=$A23), """"), 0)), ""Y"", """"))"),"")</f>
        <v/>
      </c>
      <c r="V23" s="92" t="str">
        <f>IFERROR(__xludf.DUMMYFUNCTION("IF(OR($A23="""", V$5=""""), """", IF(ISNUMBER(MATCH(V$5, IFERROR(FILTER('MASTER LIST'!$N$2:$AB$294, 'MASTER LIST'!$A$2:$A$294=$A23), """"), 0)), ""Y"", """"))"),"")</f>
        <v/>
      </c>
      <c r="W23" s="92" t="str">
        <f>IFERROR(__xludf.DUMMYFUNCTION("IF(OR($A23="""", W$5=""""), """", IF(ISNUMBER(MATCH(W$5, IFERROR(FILTER('MASTER LIST'!$N$2:$AB$294, 'MASTER LIST'!$A$2:$A$294=$A23), """"), 0)), ""Y"", """"))"),"")</f>
        <v/>
      </c>
      <c r="X23" s="92" t="str">
        <f>IFERROR(__xludf.DUMMYFUNCTION("IF(OR($A23="""", X$5=""""), """", IF(ISNUMBER(MATCH(X$5, IFERROR(FILTER('MASTER LIST'!$N$2:$AB$294, 'MASTER LIST'!$A$2:$A$294=$A23), """"), 0)), ""Y"", """"))"),"")</f>
        <v/>
      </c>
      <c r="Y23" s="92" t="str">
        <f>IFERROR(__xludf.DUMMYFUNCTION("IF(OR($A23="""", Y$5=""""), """", IF(ISNUMBER(MATCH(Y$5, IFERROR(FILTER('MASTER LIST'!$N$2:$AB$294, 'MASTER LIST'!$A$2:$A$294=$A23), """"), 0)), ""Y"", """"))"),"")</f>
        <v/>
      </c>
      <c r="Z23" s="92" t="str">
        <f>IFERROR(__xludf.DUMMYFUNCTION("IF(OR($A23="""", Z$5=""""), """", IF(ISNUMBER(MATCH(Z$5, IFERROR(FILTER('MASTER LIST'!$N$2:$AB$294, 'MASTER LIST'!$A$2:$A$294=$A23), """"), 0)), ""Y"", """"))"),"")</f>
        <v/>
      </c>
      <c r="AA23" s="92" t="str">
        <f>IFERROR(__xludf.DUMMYFUNCTION("IF(OR($A23="""", AA$5=""""), """", IF(ISNUMBER(MATCH(AA$5, IFERROR(FILTER('MASTER LIST'!$N$2:$AB$294, 'MASTER LIST'!$A$2:$A$294=$A23), """"), 0)), ""Y"", """"))"),"")</f>
        <v/>
      </c>
      <c r="AB23" s="92" t="str">
        <f>IFERROR(__xludf.DUMMYFUNCTION("IF(OR($A23="""", AB$5=""""), """", IF(ISNUMBER(MATCH(AB$5, IFERROR(FILTER('MASTER LIST'!$N$2:$AB$294, 'MASTER LIST'!$A$2:$A$294=$A23), """"), 0)), ""Y"", """"))"),"")</f>
        <v/>
      </c>
      <c r="AC23" s="92" t="str">
        <f>IFERROR(__xludf.DUMMYFUNCTION("IF(OR($A23="""", AC$5=""""), """", IF(ISNUMBER(MATCH(AC$5, IFERROR(FILTER('MASTER LIST'!$N$2:$AB$294, 'MASTER LIST'!$A$2:$A$294=$A23), """"), 0)), ""Y"", """"))"),"")</f>
        <v/>
      </c>
      <c r="AD23" s="92" t="str">
        <f>IFERROR(__xludf.DUMMYFUNCTION("IF(OR($A23="""", AD$5=""""), """", IF(ISNUMBER(MATCH(AD$5, IFERROR(FILTER('MASTER LIST'!$N$2:$AB$294, 'MASTER LIST'!$A$2:$A$294=$A23), """"), 0)), ""Y"", """"))"),"")</f>
        <v/>
      </c>
      <c r="AE23" s="92" t="str">
        <f>IFERROR(__xludf.DUMMYFUNCTION("IF(OR($A23="""", AE$5=""""), """", IF(ISNUMBER(MATCH(AE$5, IFERROR(FILTER('MASTER LIST'!$N$2:$AB$294, 'MASTER LIST'!$A$2:$A$294=$A23), """"), 0)), ""Y"", """"))"),"")</f>
        <v/>
      </c>
      <c r="AF23" s="92" t="str">
        <f>IFERROR(__xludf.DUMMYFUNCTION("IF(OR($A23="""", AF$5=""""), """", IF(ISNUMBER(MATCH(AF$5, IFERROR(FILTER('MASTER LIST'!$N$2:$AB$294, 'MASTER LIST'!$A$2:$A$294=$A23), """"), 0)), ""Y"", """"))"),"")</f>
        <v/>
      </c>
      <c r="AG23" s="92" t="str">
        <f>IFERROR(__xludf.DUMMYFUNCTION("IF(OR($A23="""", AG$5=""""), """", IF(ISNUMBER(MATCH(AG$5, IFERROR(FILTER('MASTER LIST'!$N$2:$AB$294, 'MASTER LIST'!$A$2:$A$294=$A23), """"), 0)), ""Y"", """"))"),"")</f>
        <v/>
      </c>
      <c r="AH23" s="92" t="str">
        <f>IFERROR(__xludf.DUMMYFUNCTION("IF(OR($A23="""", AH$5=""""), """", IF(ISNUMBER(MATCH(AH$5, IFERROR(FILTER('MASTER LIST'!$N$2:$AB$294, 'MASTER LIST'!$A$2:$A$294=$A23), """"), 0)), ""Y"", """"))"),"")</f>
        <v/>
      </c>
      <c r="AI23" s="92" t="str">
        <f>IFERROR(__xludf.DUMMYFUNCTION("IF(OR($A23="""", AI$5=""""), """", IF(ISNUMBER(MATCH(AI$5, IFERROR(FILTER('MASTER LIST'!$N$2:$AB$294, 'MASTER LIST'!$A$2:$A$294=$A23), """"), 0)), ""Y"", """"))"),"")</f>
        <v/>
      </c>
      <c r="AJ23" s="92" t="str">
        <f>IFERROR(__xludf.DUMMYFUNCTION("IF(OR($A23="""", AJ$5=""""), """", IF(ISNUMBER(MATCH(AJ$5, IFERROR(FILTER('MASTER LIST'!$N$2:$AB$294, 'MASTER LIST'!$A$2:$A$294=$A23), """"), 0)), ""Y"", """"))"),"")</f>
        <v/>
      </c>
      <c r="AK23" s="92" t="str">
        <f>IFERROR(__xludf.DUMMYFUNCTION("IF(OR($A23="""", AK$5=""""), """", IF(ISNUMBER(MATCH(AK$5, IFERROR(FILTER('MASTER LIST'!$N$2:$AB$294, 'MASTER LIST'!$A$2:$A$294=$A23), """"), 0)), ""Y"", """"))"),"")</f>
        <v/>
      </c>
      <c r="AL23" s="92" t="str">
        <f>IFERROR(__xludf.DUMMYFUNCTION("IF(OR($A23="""", AL$5=""""), """", IF(ISNUMBER(MATCH(AL$5, IFERROR(FILTER('MASTER LIST'!$N$2:$AB$294, 'MASTER LIST'!$A$2:$A$294=$A23), """"), 0)), ""Y"", """"))"),"")</f>
        <v/>
      </c>
      <c r="AM23" s="92" t="str">
        <f>IFERROR(__xludf.DUMMYFUNCTION("IF(OR($A23="""", AM$5=""""), """", IF(ISNUMBER(MATCH(AM$5, IFERROR(FILTER('MASTER LIST'!$N$2:$AB$294, 'MASTER LIST'!$A$2:$A$294=$A23), """"), 0)), ""Y"", """"))"),"")</f>
        <v/>
      </c>
      <c r="AN23" s="92" t="str">
        <f>IFERROR(__xludf.DUMMYFUNCTION("IF(OR($A23="""", AN$5=""""), """", IF(ISNUMBER(MATCH(AN$5, IFERROR(FILTER('MASTER LIST'!$N$2:$AB$294, 'MASTER LIST'!$A$2:$A$294=$A23), """"), 0)), ""Y"", """"))"),"")</f>
        <v/>
      </c>
      <c r="AO23" s="92" t="str">
        <f>IFERROR(__xludf.DUMMYFUNCTION("IF(OR($A23="""", AO$5=""""), """", IF(ISNUMBER(MATCH(AO$5, IFERROR(FILTER('MASTER LIST'!$N$2:$AB$294, 'MASTER LIST'!$A$2:$A$294=$A23), """"), 0)), ""Y"", """"))"),"")</f>
        <v/>
      </c>
      <c r="AP23" s="92" t="str">
        <f>IFERROR(__xludf.DUMMYFUNCTION("IF(OR($A23="""", AP$5=""""), """", IF(ISNUMBER(MATCH(AP$5, IFERROR(FILTER('MASTER LIST'!$N$2:$AB$294, 'MASTER LIST'!$A$2:$A$294=$A23), """"), 0)), ""Y"", """"))"),"")</f>
        <v/>
      </c>
      <c r="AQ23" s="92" t="str">
        <f>IFERROR(__xludf.DUMMYFUNCTION("IF(OR($A23="""", AQ$5=""""), """", IF(ISNUMBER(MATCH(AQ$5, IFERROR(FILTER('MASTER LIST'!$N$2:$AB$294, 'MASTER LIST'!$A$2:$A$294=$A23), """"), 0)), ""Y"", """"))"),"")</f>
        <v/>
      </c>
      <c r="AR23" s="92" t="str">
        <f>IFERROR(__xludf.DUMMYFUNCTION("IF(OR($A23="""", AR$5=""""), """", IF(ISNUMBER(MATCH(AR$5, IFERROR(FILTER('MASTER LIST'!$N$2:$AB$294, 'MASTER LIST'!$A$2:$A$294=$A23), """"), 0)), ""Y"", """"))"),"")</f>
        <v/>
      </c>
      <c r="AS23" s="92" t="str">
        <f>IFERROR(__xludf.DUMMYFUNCTION("IF(OR($A23="""", AS$5=""""), """", IF(ISNUMBER(MATCH(AS$5, IFERROR(FILTER('MASTER LIST'!$N$2:$AB$294, 'MASTER LIST'!$A$2:$A$294=$A23), """"), 0)), ""Y"", """"))"),"")</f>
        <v/>
      </c>
      <c r="AT23" s="92" t="str">
        <f>IFERROR(__xludf.DUMMYFUNCTION("IF(OR($A23="""", AT$5=""""), """", IF(ISNUMBER(MATCH(AT$5, IFERROR(FILTER('MASTER LIST'!$N$2:$AB$294, 'MASTER LIST'!$A$2:$A$294=$A23), """"), 0)), ""Y"", """"))"),"")</f>
        <v/>
      </c>
      <c r="AU23" s="92" t="str">
        <f>IFERROR(__xludf.DUMMYFUNCTION("IF(OR($A23="""", AU$5=""""), """", IF(ISNUMBER(MATCH(AU$5, IFERROR(FILTER('MASTER LIST'!$N$2:$AB$294, 'MASTER LIST'!$A$2:$A$294=$A23), """"), 0)), ""Y"", """"))"),"")</f>
        <v/>
      </c>
      <c r="AV23" s="92" t="str">
        <f>IFERROR(__xludf.DUMMYFUNCTION("IF(OR($A23="""", AV$5=""""), """", IF(ISNUMBER(MATCH(AV$5, IFERROR(FILTER('MASTER LIST'!$N$2:$AB$294, 'MASTER LIST'!$A$2:$A$294=$A23), """"), 0)), ""Y"", """"))"),"")</f>
        <v/>
      </c>
      <c r="AW23" s="92" t="str">
        <f>IFERROR(__xludf.DUMMYFUNCTION("IF(OR($A23="""", AW$5=""""), """", IF(ISNUMBER(MATCH(AW$5, IFERROR(FILTER('MASTER LIST'!$N$2:$AB$294, 'MASTER LIST'!$A$2:$A$294=$A23), """"), 0)), ""Y"", """"))"),"")</f>
        <v/>
      </c>
      <c r="AX23" s="92" t="str">
        <f>IFERROR(__xludf.DUMMYFUNCTION("IF(OR($A23="""", AX$5=""""), """", IF(ISNUMBER(MATCH(AX$5, IFERROR(FILTER('MASTER LIST'!$N$2:$AB$294, 'MASTER LIST'!$A$2:$A$294=$A23), """"), 0)), ""Y"", """"))"),"")</f>
        <v/>
      </c>
      <c r="AY23" s="92" t="str">
        <f>IFERROR(__xludf.DUMMYFUNCTION("IF(OR($A23="""", AY$5=""""), """", IF(ISNUMBER(MATCH(AY$5, IFERROR(FILTER('MASTER LIST'!$N$2:$AB$294, 'MASTER LIST'!$A$2:$A$294=$A23), """"), 0)), ""Y"", """"))"),"")</f>
        <v/>
      </c>
      <c r="AZ23" s="92" t="str">
        <f>IFERROR(__xludf.DUMMYFUNCTION("IF(OR($A23="""", AZ$5=""""), """", IF(ISNUMBER(MATCH(AZ$5, IFERROR(FILTER('MASTER LIST'!$N$2:$AB$294, 'MASTER LIST'!$A$2:$A$294=$A23), """"), 0)), ""Y"", """"))"),"")</f>
        <v/>
      </c>
      <c r="BA23" s="92" t="str">
        <f>IFERROR(__xludf.DUMMYFUNCTION("IF(OR($A23="""", BA$5=""""), """", IF(ISNUMBER(MATCH(BA$5, IFERROR(FILTER('MASTER LIST'!$N$2:$AB$294, 'MASTER LIST'!$A$2:$A$294=$A23), """"), 0)), ""Y"", """"))"),"")</f>
        <v/>
      </c>
      <c r="BB23" s="92" t="str">
        <f>IFERROR(__xludf.DUMMYFUNCTION("IF(OR($A23="""", BB$5=""""), """", IF(ISNUMBER(MATCH(BB$5, IFERROR(FILTER('MASTER LIST'!$N$2:$AB$294, 'MASTER LIST'!$A$2:$A$294=$A23), """"), 0)), ""Y"", """"))"),"")</f>
        <v/>
      </c>
      <c r="BC23" s="92" t="str">
        <f>IFERROR(__xludf.DUMMYFUNCTION("IF(OR($A23="""", BC$5=""""), """", IF(ISNUMBER(MATCH(BC$5, IFERROR(FILTER('MASTER LIST'!$N$2:$AB$294, 'MASTER LIST'!$A$2:$A$294=$A23), """"), 0)), ""Y"", """"))"),"")</f>
        <v/>
      </c>
      <c r="BD23" s="92" t="str">
        <f>IFERROR(__xludf.DUMMYFUNCTION("IF(OR($A23="""", BD$5=""""), """", IF(ISNUMBER(MATCH(BD$5, IFERROR(FILTER('MASTER LIST'!$N$2:$AB$294, 'MASTER LIST'!$A$2:$A$294=$A23), """"), 0)), ""Y"", """"))"),"")</f>
        <v/>
      </c>
      <c r="BE23" s="92" t="str">
        <f>IFERROR(__xludf.DUMMYFUNCTION("IF(OR($A23="""", BE$5=""""), """", IF(ISNUMBER(MATCH(BE$5, IFERROR(FILTER('MASTER LIST'!$N$2:$AB$294, 'MASTER LIST'!$A$2:$A$294=$A23), """"), 0)), ""Y"", """"))"),"")</f>
        <v/>
      </c>
      <c r="BF23" s="92" t="str">
        <f>IFERROR(__xludf.DUMMYFUNCTION("IF(OR($A23="""", BF$5=""""), """", IF(ISNUMBER(MATCH(BF$5, IFERROR(FILTER('MASTER LIST'!$N$2:$AB$294, 'MASTER LIST'!$A$2:$A$294=$A23), """"), 0)), ""Y"", """"))"),"")</f>
        <v/>
      </c>
      <c r="BG23" s="92" t="str">
        <f>IFERROR(__xludf.DUMMYFUNCTION("IF(OR($A23="""", BG$5=""""), """", IF(ISNUMBER(MATCH(BG$5, IFERROR(FILTER('MASTER LIST'!$N$2:$AB$294, 'MASTER LIST'!$A$2:$A$294=$A23), """"), 0)), ""Y"", """"))"),"")</f>
        <v/>
      </c>
      <c r="BH23" s="92" t="str">
        <f>IFERROR(__xludf.DUMMYFUNCTION("IF(OR($A23="""", BH$5=""""), """", IF(ISNUMBER(MATCH(BH$5, IFERROR(FILTER('MASTER LIST'!$N$2:$AB$294, 'MASTER LIST'!$A$2:$A$294=$A23), """"), 0)), ""Y"", """"))"),"")</f>
        <v/>
      </c>
      <c r="BI23" s="92" t="str">
        <f>IFERROR(__xludf.DUMMYFUNCTION("IF(OR($A23="""", BI$5=""""), """", IF(ISNUMBER(MATCH(BI$5, IFERROR(FILTER('MASTER LIST'!$N$2:$AB$294, 'MASTER LIST'!$A$2:$A$294=$A23), """"), 0)), ""Y"", """"))"),"")</f>
        <v/>
      </c>
      <c r="BJ23" s="92" t="str">
        <f>IFERROR(__xludf.DUMMYFUNCTION("IF(OR($A23="""", BJ$5=""""), """", IF(ISNUMBER(MATCH(BJ$5, IFERROR(FILTER('MASTER LIST'!$N$2:$AB$294, 'MASTER LIST'!$A$2:$A$294=$A23), """"), 0)), ""Y"", """"))"),"")</f>
        <v/>
      </c>
      <c r="BK23" s="92" t="str">
        <f>IFERROR(__xludf.DUMMYFUNCTION("IF(OR($A23="""", BK$5=""""), """", IF(ISNUMBER(MATCH(BK$5, IFERROR(FILTER('MASTER LIST'!$N$2:$AB$294, 'MASTER LIST'!$A$2:$A$294=$A23), """"), 0)), ""Y"", """"))"),"")</f>
        <v/>
      </c>
      <c r="BL23" s="92" t="str">
        <f>IFERROR(__xludf.DUMMYFUNCTION("IF(OR($A23="""", BL$5=""""), """", IF(ISNUMBER(MATCH(BL$5, IFERROR(FILTER('MASTER LIST'!$N$2:$AB$294, 'MASTER LIST'!$A$2:$A$294=$A23), """"), 0)), ""Y"", """"))"),"")</f>
        <v/>
      </c>
      <c r="BM23" s="92" t="str">
        <f>IFERROR(__xludf.DUMMYFUNCTION("IF(OR($A23="""", BM$5=""""), """", IF(ISNUMBER(MATCH(BM$5, IFERROR(FILTER('MASTER LIST'!$N$2:$AB$294, 'MASTER LIST'!$A$2:$A$294=$A23), """"), 0)), ""Y"", """"))"),"")</f>
        <v/>
      </c>
      <c r="BN23" s="92" t="str">
        <f>IFERROR(__xludf.DUMMYFUNCTION("IF(OR($A23="""", BN$5=""""), """", IF(ISNUMBER(MATCH(BN$5, IFERROR(FILTER('MASTER LIST'!$N$2:$AB$294, 'MASTER LIST'!$A$2:$A$294=$A23), """"), 0)), ""Y"", """"))"),"")</f>
        <v/>
      </c>
      <c r="BO23" s="92" t="str">
        <f>IFERROR(__xludf.DUMMYFUNCTION("IF(OR($A23="""", BO$5=""""), """", IF(ISNUMBER(MATCH(BO$5, IFERROR(FILTER('MASTER LIST'!$N$2:$AB$294, 'MASTER LIST'!$A$2:$A$294=$A23), """"), 0)), ""Y"", """"))"),"")</f>
        <v/>
      </c>
      <c r="BP23" s="92" t="str">
        <f>IFERROR(__xludf.DUMMYFUNCTION("IF(OR($A23="""", BP$5=""""), """", IF(ISNUMBER(MATCH(BP$5, IFERROR(FILTER('MASTER LIST'!$N$2:$AB$294, 'MASTER LIST'!$A$2:$A$294=$A23), """"), 0)), ""Y"", """"))"),"")</f>
        <v/>
      </c>
      <c r="BQ23" s="92" t="str">
        <f>IFERROR(__xludf.DUMMYFUNCTION("IF(OR($A23="""", BQ$5=""""), """", IF(ISNUMBER(MATCH(BQ$5, IFERROR(FILTER('MASTER LIST'!$N$2:$AB$294, 'MASTER LIST'!$A$2:$A$294=$A23), """"), 0)), ""Y"", """"))"),"")</f>
        <v/>
      </c>
      <c r="BR23" s="92" t="str">
        <f>IFERROR(__xludf.DUMMYFUNCTION("IF(OR($A23="""", BR$5=""""), """", IF(ISNUMBER(MATCH(BR$5, IFERROR(FILTER('MASTER LIST'!$N$2:$AB$294, 'MASTER LIST'!$A$2:$A$294=$A23), """"), 0)), ""Y"", """"))"),"")</f>
        <v/>
      </c>
      <c r="BS23" s="92" t="str">
        <f>IFERROR(__xludf.DUMMYFUNCTION("IF(OR($A23="""", BS$5=""""), """", IF(ISNUMBER(MATCH(BS$5, IFERROR(FILTER('MASTER LIST'!$N$2:$AB$294, 'MASTER LIST'!$A$2:$A$294=$A23), """"), 0)), ""Y"", """"))"),"")</f>
        <v/>
      </c>
      <c r="BT23" s="92" t="str">
        <f>IFERROR(__xludf.DUMMYFUNCTION("IF(OR($A23="""", BT$5=""""), """", IF(ISNUMBER(MATCH(BT$5, IFERROR(FILTER('MASTER LIST'!$N$2:$AB$294, 'MASTER LIST'!$A$2:$A$294=$A23), """"), 0)), ""Y"", """"))"),"")</f>
        <v/>
      </c>
      <c r="BU23" s="92" t="str">
        <f>IFERROR(__xludf.DUMMYFUNCTION("IF(OR($A23="""", BU$5=""""), """", IF(ISNUMBER(MATCH(BU$5, IFERROR(FILTER('MASTER LIST'!$N$2:$AB$294, 'MASTER LIST'!$A$2:$A$294=$A23), """"), 0)), ""Y"", """"))"),"")</f>
        <v/>
      </c>
      <c r="BV23" s="92" t="str">
        <f>IFERROR(__xludf.DUMMYFUNCTION("IF(OR($A23="""", BV$5=""""), """", IF(ISNUMBER(MATCH(BV$5, IFERROR(FILTER('MASTER LIST'!$N$2:$AB$294, 'MASTER LIST'!$A$2:$A$294=$A23), """"), 0)), ""Y"", """"))"),"")</f>
        <v/>
      </c>
      <c r="BW23" s="92" t="str">
        <f>IFERROR(__xludf.DUMMYFUNCTION("IF(OR($A23="""", BW$5=""""), """", IF(ISNUMBER(MATCH(BW$5, IFERROR(FILTER('MASTER LIST'!$N$2:$AB$294, 'MASTER LIST'!$A$2:$A$294=$A23), """"), 0)), ""Y"", """"))"),"")</f>
        <v/>
      </c>
      <c r="BX23" s="92" t="str">
        <f>IFERROR(__xludf.DUMMYFUNCTION("IF(OR($A23="""", BX$5=""""), """", IF(ISNUMBER(MATCH(BX$5, IFERROR(FILTER('MASTER LIST'!$N$2:$AB$294, 'MASTER LIST'!$A$2:$A$294=$A23), """"), 0)), ""Y"", """"))"),"")</f>
        <v/>
      </c>
      <c r="BY23" s="92" t="str">
        <f>IFERROR(__xludf.DUMMYFUNCTION("IF(OR($A23="""", BY$5=""""), """", IF(ISNUMBER(MATCH(BY$5, IFERROR(FILTER('MASTER LIST'!$N$2:$AB$294, 'MASTER LIST'!$A$2:$A$294=$A23), """"), 0)), ""Y"", """"))"),"")</f>
        <v/>
      </c>
      <c r="BZ23" s="92" t="str">
        <f>IFERROR(__xludf.DUMMYFUNCTION("IF(OR($A23="""", BZ$5=""""), """", IF(ISNUMBER(MATCH(BZ$5, IFERROR(FILTER('MASTER LIST'!$N$2:$AB$294, 'MASTER LIST'!$A$2:$A$294=$A23), """"), 0)), ""Y"", """"))"),"")</f>
        <v/>
      </c>
      <c r="CA23" s="92" t="str">
        <f>IFERROR(__xludf.DUMMYFUNCTION("IF(OR($A23="""", CA$5=""""), """", IF(ISNUMBER(MATCH(CA$5, IFERROR(FILTER('MASTER LIST'!$N$2:$AB$294, 'MASTER LIST'!$A$2:$A$294=$A23), """"), 0)), ""Y"", """"))"),"")</f>
        <v/>
      </c>
      <c r="CB23" s="92" t="str">
        <f>IFERROR(__xludf.DUMMYFUNCTION("IF(OR($A23="""", CB$5=""""), """", IF(ISNUMBER(MATCH(CB$5, IFERROR(FILTER('MASTER LIST'!$N$2:$AB$294, 'MASTER LIST'!$A$2:$A$294=$A23), """"), 0)), ""Y"", """"))"),"")</f>
        <v/>
      </c>
      <c r="CC23" s="92"/>
      <c r="CD23" s="92"/>
      <c r="CE23" s="92"/>
      <c r="CF23" s="92"/>
      <c r="CG23" s="92"/>
      <c r="CH23" s="92"/>
      <c r="CI23" s="92"/>
      <c r="CJ23" s="92"/>
      <c r="CK23" s="92"/>
    </row>
    <row r="24">
      <c r="A24" s="75"/>
      <c r="B24" s="75"/>
      <c r="C24" s="75"/>
      <c r="D24" s="75"/>
      <c r="E24" s="75"/>
      <c r="F24" s="75"/>
      <c r="G24" s="92" t="str">
        <f>IFERROR(__xludf.DUMMYFUNCTION("IF(OR($A24="""", G$5=""""), """", IF(ISNUMBER(MATCH(G$5, IFERROR(FILTER('MASTER LIST'!$N$2:$AB$294, 'MASTER LIST'!$A$2:$A$294=$A24), """"), 0)), ""Y"", """"))"),"")</f>
        <v/>
      </c>
      <c r="H24" s="92" t="str">
        <f>IFERROR(__xludf.DUMMYFUNCTION("IF(OR($A24="""", H$5=""""), """", IF(ISNUMBER(MATCH(H$5, IFERROR(FILTER('MASTER LIST'!$N$2:$AB$294, 'MASTER LIST'!$A$2:$A$294=$A24), """"), 0)), ""Y"", """"))"),"")</f>
        <v/>
      </c>
      <c r="J24" s="92" t="str">
        <f>IFERROR(__xludf.DUMMYFUNCTION("IF(OR($A24="""", J$5=""""), """", IF(ISNUMBER(MATCH(J$5, IFERROR(FILTER('MASTER LIST'!$N$2:$AB$294, 'MASTER LIST'!$A$2:$A$294=$A24), """"), 0)), ""Y"", """"))"),"")</f>
        <v/>
      </c>
      <c r="K24" s="92" t="str">
        <f>IFERROR(__xludf.DUMMYFUNCTION("IF(OR($A24="""", K$5=""""), """", IF(ISNUMBER(MATCH(K$5, IFERROR(FILTER('MASTER LIST'!$N$2:$AB$294, 'MASTER LIST'!$A$2:$A$294=$A24), """"), 0)), ""Y"", """"))"),"")</f>
        <v/>
      </c>
      <c r="L24" s="92" t="str">
        <f>IFERROR(__xludf.DUMMYFUNCTION("IF(OR($A24="""", L$5=""""), """", IF(ISNUMBER(MATCH(L$5, IFERROR(FILTER('MASTER LIST'!$N$2:$AB$294, 'MASTER LIST'!$A$2:$A$294=$A24), """"), 0)), ""Y"", """"))"),"")</f>
        <v/>
      </c>
      <c r="M24" s="92" t="str">
        <f>IFERROR(__xludf.DUMMYFUNCTION("IF(OR($A24="""", M$5=""""), """", IF(ISNUMBER(MATCH(M$5, IFERROR(FILTER('MASTER LIST'!$N$2:$AB$294, 'MASTER LIST'!$A$2:$A$294=$A24), """"), 0)), ""Y"", """"))"),"")</f>
        <v/>
      </c>
      <c r="N24" s="92" t="str">
        <f>IFERROR(__xludf.DUMMYFUNCTION("IF(OR($A24="""", N$5=""""), """", IF(ISNUMBER(MATCH(N$5, IFERROR(FILTER('MASTER LIST'!$N$2:$AB$294, 'MASTER LIST'!$A$2:$A$294=$A24), """"), 0)), ""Y"", """"))"),"")</f>
        <v/>
      </c>
      <c r="O24" s="92" t="str">
        <f>IFERROR(__xludf.DUMMYFUNCTION("IF(OR($A24="""", O$5=""""), """", IF(ISNUMBER(MATCH(O$5, IFERROR(FILTER('MASTER LIST'!$N$2:$AB$294, 'MASTER LIST'!$A$2:$A$294=$A24), """"), 0)), ""Y"", """"))"),"")</f>
        <v/>
      </c>
      <c r="P24" s="92" t="str">
        <f>IFERROR(__xludf.DUMMYFUNCTION("IF(OR($A24="""", P$5=""""), """", IF(ISNUMBER(MATCH(P$5, IFERROR(FILTER('MASTER LIST'!$N$2:$AB$294, 'MASTER LIST'!$A$2:$A$294=$A24), """"), 0)), ""Y"", """"))"),"")</f>
        <v/>
      </c>
      <c r="Q24" s="92" t="str">
        <f>IFERROR(__xludf.DUMMYFUNCTION("IF(OR($A24="""", Q$5=""""), """", IF(ISNUMBER(MATCH(Q$5, IFERROR(FILTER('MASTER LIST'!$N$2:$AB$294, 'MASTER LIST'!$A$2:$A$294=$A24), """"), 0)), ""Y"", """"))"),"")</f>
        <v/>
      </c>
      <c r="R24" s="92" t="str">
        <f>IFERROR(__xludf.DUMMYFUNCTION("IF(OR($A24="""", R$5=""""), """", IF(ISNUMBER(MATCH(R$5, IFERROR(FILTER('MASTER LIST'!$N$2:$AB$294, 'MASTER LIST'!$A$2:$A$294=$A24), """"), 0)), ""Y"", """"))"),"")</f>
        <v/>
      </c>
      <c r="S24" s="92" t="str">
        <f>IFERROR(__xludf.DUMMYFUNCTION("IF(OR($A24="""", S$5=""""), """", IF(ISNUMBER(MATCH(S$5, IFERROR(FILTER('MASTER LIST'!$N$2:$AB$294, 'MASTER LIST'!$A$2:$A$294=$A24), """"), 0)), ""Y"", """"))"),"")</f>
        <v/>
      </c>
      <c r="T24" s="92" t="str">
        <f>IFERROR(__xludf.DUMMYFUNCTION("IF(OR($A24="""", T$5=""""), """", IF(ISNUMBER(MATCH(T$5, IFERROR(FILTER('MASTER LIST'!$N$2:$AB$294, 'MASTER LIST'!$A$2:$A$294=$A24), """"), 0)), ""Y"", """"))"),"")</f>
        <v/>
      </c>
      <c r="U24" s="92" t="str">
        <f>IFERROR(__xludf.DUMMYFUNCTION("IF(OR($A24="""", U$5=""""), """", IF(ISNUMBER(MATCH(U$5, IFERROR(FILTER('MASTER LIST'!$N$2:$AB$294, 'MASTER LIST'!$A$2:$A$294=$A24), """"), 0)), ""Y"", """"))"),"")</f>
        <v/>
      </c>
      <c r="V24" s="92" t="str">
        <f>IFERROR(__xludf.DUMMYFUNCTION("IF(OR($A24="""", V$5=""""), """", IF(ISNUMBER(MATCH(V$5, IFERROR(FILTER('MASTER LIST'!$N$2:$AB$294, 'MASTER LIST'!$A$2:$A$294=$A24), """"), 0)), ""Y"", """"))"),"")</f>
        <v/>
      </c>
      <c r="W24" s="92" t="str">
        <f>IFERROR(__xludf.DUMMYFUNCTION("IF(OR($A24="""", W$5=""""), """", IF(ISNUMBER(MATCH(W$5, IFERROR(FILTER('MASTER LIST'!$N$2:$AB$294, 'MASTER LIST'!$A$2:$A$294=$A24), """"), 0)), ""Y"", """"))"),"")</f>
        <v/>
      </c>
      <c r="X24" s="92" t="str">
        <f>IFERROR(__xludf.DUMMYFUNCTION("IF(OR($A24="""", X$5=""""), """", IF(ISNUMBER(MATCH(X$5, IFERROR(FILTER('MASTER LIST'!$N$2:$AB$294, 'MASTER LIST'!$A$2:$A$294=$A24), """"), 0)), ""Y"", """"))"),"")</f>
        <v/>
      </c>
      <c r="Y24" s="92" t="str">
        <f>IFERROR(__xludf.DUMMYFUNCTION("IF(OR($A24="""", Y$5=""""), """", IF(ISNUMBER(MATCH(Y$5, IFERROR(FILTER('MASTER LIST'!$N$2:$AB$294, 'MASTER LIST'!$A$2:$A$294=$A24), """"), 0)), ""Y"", """"))"),"")</f>
        <v/>
      </c>
      <c r="Z24" s="92" t="str">
        <f>IFERROR(__xludf.DUMMYFUNCTION("IF(OR($A24="""", Z$5=""""), """", IF(ISNUMBER(MATCH(Z$5, IFERROR(FILTER('MASTER LIST'!$N$2:$AB$294, 'MASTER LIST'!$A$2:$A$294=$A24), """"), 0)), ""Y"", """"))"),"")</f>
        <v/>
      </c>
      <c r="AA24" s="92" t="str">
        <f>IFERROR(__xludf.DUMMYFUNCTION("IF(OR($A24="""", AA$5=""""), """", IF(ISNUMBER(MATCH(AA$5, IFERROR(FILTER('MASTER LIST'!$N$2:$AB$294, 'MASTER LIST'!$A$2:$A$294=$A24), """"), 0)), ""Y"", """"))"),"")</f>
        <v/>
      </c>
      <c r="AB24" s="92" t="str">
        <f>IFERROR(__xludf.DUMMYFUNCTION("IF(OR($A24="""", AB$5=""""), """", IF(ISNUMBER(MATCH(AB$5, IFERROR(FILTER('MASTER LIST'!$N$2:$AB$294, 'MASTER LIST'!$A$2:$A$294=$A24), """"), 0)), ""Y"", """"))"),"")</f>
        <v/>
      </c>
      <c r="AC24" s="92" t="str">
        <f>IFERROR(__xludf.DUMMYFUNCTION("IF(OR($A24="""", AC$5=""""), """", IF(ISNUMBER(MATCH(AC$5, IFERROR(FILTER('MASTER LIST'!$N$2:$AB$294, 'MASTER LIST'!$A$2:$A$294=$A24), """"), 0)), ""Y"", """"))"),"")</f>
        <v/>
      </c>
      <c r="AD24" s="92" t="str">
        <f>IFERROR(__xludf.DUMMYFUNCTION("IF(OR($A24="""", AD$5=""""), """", IF(ISNUMBER(MATCH(AD$5, IFERROR(FILTER('MASTER LIST'!$N$2:$AB$294, 'MASTER LIST'!$A$2:$A$294=$A24), """"), 0)), ""Y"", """"))"),"")</f>
        <v/>
      </c>
      <c r="AE24" s="92" t="str">
        <f>IFERROR(__xludf.DUMMYFUNCTION("IF(OR($A24="""", AE$5=""""), """", IF(ISNUMBER(MATCH(AE$5, IFERROR(FILTER('MASTER LIST'!$N$2:$AB$294, 'MASTER LIST'!$A$2:$A$294=$A24), """"), 0)), ""Y"", """"))"),"")</f>
        <v/>
      </c>
      <c r="AF24" s="92" t="str">
        <f>IFERROR(__xludf.DUMMYFUNCTION("IF(OR($A24="""", AF$5=""""), """", IF(ISNUMBER(MATCH(AF$5, IFERROR(FILTER('MASTER LIST'!$N$2:$AB$294, 'MASTER LIST'!$A$2:$A$294=$A24), """"), 0)), ""Y"", """"))"),"")</f>
        <v/>
      </c>
      <c r="AG24" s="92" t="str">
        <f>IFERROR(__xludf.DUMMYFUNCTION("IF(OR($A24="""", AG$5=""""), """", IF(ISNUMBER(MATCH(AG$5, IFERROR(FILTER('MASTER LIST'!$N$2:$AB$294, 'MASTER LIST'!$A$2:$A$294=$A24), """"), 0)), ""Y"", """"))"),"")</f>
        <v/>
      </c>
      <c r="AH24" s="92" t="str">
        <f>IFERROR(__xludf.DUMMYFUNCTION("IF(OR($A24="""", AH$5=""""), """", IF(ISNUMBER(MATCH(AH$5, IFERROR(FILTER('MASTER LIST'!$N$2:$AB$294, 'MASTER LIST'!$A$2:$A$294=$A24), """"), 0)), ""Y"", """"))"),"")</f>
        <v/>
      </c>
      <c r="AI24" s="92" t="str">
        <f>IFERROR(__xludf.DUMMYFUNCTION("IF(OR($A24="""", AI$5=""""), """", IF(ISNUMBER(MATCH(AI$5, IFERROR(FILTER('MASTER LIST'!$N$2:$AB$294, 'MASTER LIST'!$A$2:$A$294=$A24), """"), 0)), ""Y"", """"))"),"")</f>
        <v/>
      </c>
      <c r="AJ24" s="92" t="str">
        <f>IFERROR(__xludf.DUMMYFUNCTION("IF(OR($A24="""", AJ$5=""""), """", IF(ISNUMBER(MATCH(AJ$5, IFERROR(FILTER('MASTER LIST'!$N$2:$AB$294, 'MASTER LIST'!$A$2:$A$294=$A24), """"), 0)), ""Y"", """"))"),"")</f>
        <v/>
      </c>
      <c r="AK24" s="92" t="str">
        <f>IFERROR(__xludf.DUMMYFUNCTION("IF(OR($A24="""", AK$5=""""), """", IF(ISNUMBER(MATCH(AK$5, IFERROR(FILTER('MASTER LIST'!$N$2:$AB$294, 'MASTER LIST'!$A$2:$A$294=$A24), """"), 0)), ""Y"", """"))"),"")</f>
        <v/>
      </c>
      <c r="AL24" s="92" t="str">
        <f>IFERROR(__xludf.DUMMYFUNCTION("IF(OR($A24="""", AL$5=""""), """", IF(ISNUMBER(MATCH(AL$5, IFERROR(FILTER('MASTER LIST'!$N$2:$AB$294, 'MASTER LIST'!$A$2:$A$294=$A24), """"), 0)), ""Y"", """"))"),"")</f>
        <v/>
      </c>
      <c r="AM24" s="92" t="str">
        <f>IFERROR(__xludf.DUMMYFUNCTION("IF(OR($A24="""", AM$5=""""), """", IF(ISNUMBER(MATCH(AM$5, IFERROR(FILTER('MASTER LIST'!$N$2:$AB$294, 'MASTER LIST'!$A$2:$A$294=$A24), """"), 0)), ""Y"", """"))"),"")</f>
        <v/>
      </c>
      <c r="AN24" s="92" t="str">
        <f>IFERROR(__xludf.DUMMYFUNCTION("IF(OR($A24="""", AN$5=""""), """", IF(ISNUMBER(MATCH(AN$5, IFERROR(FILTER('MASTER LIST'!$N$2:$AB$294, 'MASTER LIST'!$A$2:$A$294=$A24), """"), 0)), ""Y"", """"))"),"")</f>
        <v/>
      </c>
      <c r="AO24" s="92" t="str">
        <f>IFERROR(__xludf.DUMMYFUNCTION("IF(OR($A24="""", AO$5=""""), """", IF(ISNUMBER(MATCH(AO$5, IFERROR(FILTER('MASTER LIST'!$N$2:$AB$294, 'MASTER LIST'!$A$2:$A$294=$A24), """"), 0)), ""Y"", """"))"),"")</f>
        <v/>
      </c>
      <c r="AP24" s="92" t="str">
        <f>IFERROR(__xludf.DUMMYFUNCTION("IF(OR($A24="""", AP$5=""""), """", IF(ISNUMBER(MATCH(AP$5, IFERROR(FILTER('MASTER LIST'!$N$2:$AB$294, 'MASTER LIST'!$A$2:$A$294=$A24), """"), 0)), ""Y"", """"))"),"")</f>
        <v/>
      </c>
      <c r="AQ24" s="92" t="str">
        <f>IFERROR(__xludf.DUMMYFUNCTION("IF(OR($A24="""", AQ$5=""""), """", IF(ISNUMBER(MATCH(AQ$5, IFERROR(FILTER('MASTER LIST'!$N$2:$AB$294, 'MASTER LIST'!$A$2:$A$294=$A24), """"), 0)), ""Y"", """"))"),"")</f>
        <v/>
      </c>
      <c r="AR24" s="92" t="str">
        <f>IFERROR(__xludf.DUMMYFUNCTION("IF(OR($A24="""", AR$5=""""), """", IF(ISNUMBER(MATCH(AR$5, IFERROR(FILTER('MASTER LIST'!$N$2:$AB$294, 'MASTER LIST'!$A$2:$A$294=$A24), """"), 0)), ""Y"", """"))"),"")</f>
        <v/>
      </c>
      <c r="AS24" s="92" t="str">
        <f>IFERROR(__xludf.DUMMYFUNCTION("IF(OR($A24="""", AS$5=""""), """", IF(ISNUMBER(MATCH(AS$5, IFERROR(FILTER('MASTER LIST'!$N$2:$AB$294, 'MASTER LIST'!$A$2:$A$294=$A24), """"), 0)), ""Y"", """"))"),"")</f>
        <v/>
      </c>
      <c r="AT24" s="92" t="str">
        <f>IFERROR(__xludf.DUMMYFUNCTION("IF(OR($A24="""", AT$5=""""), """", IF(ISNUMBER(MATCH(AT$5, IFERROR(FILTER('MASTER LIST'!$N$2:$AB$294, 'MASTER LIST'!$A$2:$A$294=$A24), """"), 0)), ""Y"", """"))"),"")</f>
        <v/>
      </c>
      <c r="AU24" s="92" t="str">
        <f>IFERROR(__xludf.DUMMYFUNCTION("IF(OR($A24="""", AU$5=""""), """", IF(ISNUMBER(MATCH(AU$5, IFERROR(FILTER('MASTER LIST'!$N$2:$AB$294, 'MASTER LIST'!$A$2:$A$294=$A24), """"), 0)), ""Y"", """"))"),"")</f>
        <v/>
      </c>
      <c r="AV24" s="92" t="str">
        <f>IFERROR(__xludf.DUMMYFUNCTION("IF(OR($A24="""", AV$5=""""), """", IF(ISNUMBER(MATCH(AV$5, IFERROR(FILTER('MASTER LIST'!$N$2:$AB$294, 'MASTER LIST'!$A$2:$A$294=$A24), """"), 0)), ""Y"", """"))"),"")</f>
        <v/>
      </c>
      <c r="AW24" s="92" t="str">
        <f>IFERROR(__xludf.DUMMYFUNCTION("IF(OR($A24="""", AW$5=""""), """", IF(ISNUMBER(MATCH(AW$5, IFERROR(FILTER('MASTER LIST'!$N$2:$AB$294, 'MASTER LIST'!$A$2:$A$294=$A24), """"), 0)), ""Y"", """"))"),"")</f>
        <v/>
      </c>
      <c r="AX24" s="92" t="str">
        <f>IFERROR(__xludf.DUMMYFUNCTION("IF(OR($A24="""", AX$5=""""), """", IF(ISNUMBER(MATCH(AX$5, IFERROR(FILTER('MASTER LIST'!$N$2:$AB$294, 'MASTER LIST'!$A$2:$A$294=$A24), """"), 0)), ""Y"", """"))"),"")</f>
        <v/>
      </c>
      <c r="AY24" s="92" t="str">
        <f>IFERROR(__xludf.DUMMYFUNCTION("IF(OR($A24="""", AY$5=""""), """", IF(ISNUMBER(MATCH(AY$5, IFERROR(FILTER('MASTER LIST'!$N$2:$AB$294, 'MASTER LIST'!$A$2:$A$294=$A24), """"), 0)), ""Y"", """"))"),"")</f>
        <v/>
      </c>
      <c r="AZ24" s="92" t="str">
        <f>IFERROR(__xludf.DUMMYFUNCTION("IF(OR($A24="""", AZ$5=""""), """", IF(ISNUMBER(MATCH(AZ$5, IFERROR(FILTER('MASTER LIST'!$N$2:$AB$294, 'MASTER LIST'!$A$2:$A$294=$A24), """"), 0)), ""Y"", """"))"),"")</f>
        <v/>
      </c>
      <c r="BA24" s="92" t="str">
        <f>IFERROR(__xludf.DUMMYFUNCTION("IF(OR($A24="""", BA$5=""""), """", IF(ISNUMBER(MATCH(BA$5, IFERROR(FILTER('MASTER LIST'!$N$2:$AB$294, 'MASTER LIST'!$A$2:$A$294=$A24), """"), 0)), ""Y"", """"))"),"")</f>
        <v/>
      </c>
      <c r="BB24" s="92" t="str">
        <f>IFERROR(__xludf.DUMMYFUNCTION("IF(OR($A24="""", BB$5=""""), """", IF(ISNUMBER(MATCH(BB$5, IFERROR(FILTER('MASTER LIST'!$N$2:$AB$294, 'MASTER LIST'!$A$2:$A$294=$A24), """"), 0)), ""Y"", """"))"),"")</f>
        <v/>
      </c>
      <c r="BC24" s="92" t="str">
        <f>IFERROR(__xludf.DUMMYFUNCTION("IF(OR($A24="""", BC$5=""""), """", IF(ISNUMBER(MATCH(BC$5, IFERROR(FILTER('MASTER LIST'!$N$2:$AB$294, 'MASTER LIST'!$A$2:$A$294=$A24), """"), 0)), ""Y"", """"))"),"")</f>
        <v/>
      </c>
      <c r="BD24" s="92" t="str">
        <f>IFERROR(__xludf.DUMMYFUNCTION("IF(OR($A24="""", BD$5=""""), """", IF(ISNUMBER(MATCH(BD$5, IFERROR(FILTER('MASTER LIST'!$N$2:$AB$294, 'MASTER LIST'!$A$2:$A$294=$A24), """"), 0)), ""Y"", """"))"),"")</f>
        <v/>
      </c>
      <c r="BE24" s="92" t="str">
        <f>IFERROR(__xludf.DUMMYFUNCTION("IF(OR($A24="""", BE$5=""""), """", IF(ISNUMBER(MATCH(BE$5, IFERROR(FILTER('MASTER LIST'!$N$2:$AB$294, 'MASTER LIST'!$A$2:$A$294=$A24), """"), 0)), ""Y"", """"))"),"")</f>
        <v/>
      </c>
      <c r="BF24" s="92" t="str">
        <f>IFERROR(__xludf.DUMMYFUNCTION("IF(OR($A24="""", BF$5=""""), """", IF(ISNUMBER(MATCH(BF$5, IFERROR(FILTER('MASTER LIST'!$N$2:$AB$294, 'MASTER LIST'!$A$2:$A$294=$A24), """"), 0)), ""Y"", """"))"),"")</f>
        <v/>
      </c>
      <c r="BG24" s="92" t="str">
        <f>IFERROR(__xludf.DUMMYFUNCTION("IF(OR($A24="""", BG$5=""""), """", IF(ISNUMBER(MATCH(BG$5, IFERROR(FILTER('MASTER LIST'!$N$2:$AB$294, 'MASTER LIST'!$A$2:$A$294=$A24), """"), 0)), ""Y"", """"))"),"")</f>
        <v/>
      </c>
      <c r="BH24" s="92" t="str">
        <f>IFERROR(__xludf.DUMMYFUNCTION("IF(OR($A24="""", BH$5=""""), """", IF(ISNUMBER(MATCH(BH$5, IFERROR(FILTER('MASTER LIST'!$N$2:$AB$294, 'MASTER LIST'!$A$2:$A$294=$A24), """"), 0)), ""Y"", """"))"),"")</f>
        <v/>
      </c>
      <c r="BI24" s="92" t="str">
        <f>IFERROR(__xludf.DUMMYFUNCTION("IF(OR($A24="""", BI$5=""""), """", IF(ISNUMBER(MATCH(BI$5, IFERROR(FILTER('MASTER LIST'!$N$2:$AB$294, 'MASTER LIST'!$A$2:$A$294=$A24), """"), 0)), ""Y"", """"))"),"")</f>
        <v/>
      </c>
      <c r="BJ24" s="92" t="str">
        <f>IFERROR(__xludf.DUMMYFUNCTION("IF(OR($A24="""", BJ$5=""""), """", IF(ISNUMBER(MATCH(BJ$5, IFERROR(FILTER('MASTER LIST'!$N$2:$AB$294, 'MASTER LIST'!$A$2:$A$294=$A24), """"), 0)), ""Y"", """"))"),"")</f>
        <v/>
      </c>
      <c r="BK24" s="92" t="str">
        <f>IFERROR(__xludf.DUMMYFUNCTION("IF(OR($A24="""", BK$5=""""), """", IF(ISNUMBER(MATCH(BK$5, IFERROR(FILTER('MASTER LIST'!$N$2:$AB$294, 'MASTER LIST'!$A$2:$A$294=$A24), """"), 0)), ""Y"", """"))"),"")</f>
        <v/>
      </c>
      <c r="BL24" s="92" t="str">
        <f>IFERROR(__xludf.DUMMYFUNCTION("IF(OR($A24="""", BL$5=""""), """", IF(ISNUMBER(MATCH(BL$5, IFERROR(FILTER('MASTER LIST'!$N$2:$AB$294, 'MASTER LIST'!$A$2:$A$294=$A24), """"), 0)), ""Y"", """"))"),"")</f>
        <v/>
      </c>
      <c r="BM24" s="92" t="str">
        <f>IFERROR(__xludf.DUMMYFUNCTION("IF(OR($A24="""", BM$5=""""), """", IF(ISNUMBER(MATCH(BM$5, IFERROR(FILTER('MASTER LIST'!$N$2:$AB$294, 'MASTER LIST'!$A$2:$A$294=$A24), """"), 0)), ""Y"", """"))"),"")</f>
        <v/>
      </c>
      <c r="BN24" s="92" t="str">
        <f>IFERROR(__xludf.DUMMYFUNCTION("IF(OR($A24="""", BN$5=""""), """", IF(ISNUMBER(MATCH(BN$5, IFERROR(FILTER('MASTER LIST'!$N$2:$AB$294, 'MASTER LIST'!$A$2:$A$294=$A24), """"), 0)), ""Y"", """"))"),"")</f>
        <v/>
      </c>
      <c r="BO24" s="92" t="str">
        <f>IFERROR(__xludf.DUMMYFUNCTION("IF(OR($A24="""", BO$5=""""), """", IF(ISNUMBER(MATCH(BO$5, IFERROR(FILTER('MASTER LIST'!$N$2:$AB$294, 'MASTER LIST'!$A$2:$A$294=$A24), """"), 0)), ""Y"", """"))"),"")</f>
        <v/>
      </c>
      <c r="BP24" s="92" t="str">
        <f>IFERROR(__xludf.DUMMYFUNCTION("IF(OR($A24="""", BP$5=""""), """", IF(ISNUMBER(MATCH(BP$5, IFERROR(FILTER('MASTER LIST'!$N$2:$AB$294, 'MASTER LIST'!$A$2:$A$294=$A24), """"), 0)), ""Y"", """"))"),"")</f>
        <v/>
      </c>
      <c r="BQ24" s="92" t="str">
        <f>IFERROR(__xludf.DUMMYFUNCTION("IF(OR($A24="""", BQ$5=""""), """", IF(ISNUMBER(MATCH(BQ$5, IFERROR(FILTER('MASTER LIST'!$N$2:$AB$294, 'MASTER LIST'!$A$2:$A$294=$A24), """"), 0)), ""Y"", """"))"),"")</f>
        <v/>
      </c>
      <c r="BR24" s="92" t="str">
        <f>IFERROR(__xludf.DUMMYFUNCTION("IF(OR($A24="""", BR$5=""""), """", IF(ISNUMBER(MATCH(BR$5, IFERROR(FILTER('MASTER LIST'!$N$2:$AB$294, 'MASTER LIST'!$A$2:$A$294=$A24), """"), 0)), ""Y"", """"))"),"")</f>
        <v/>
      </c>
      <c r="BS24" s="92" t="str">
        <f>IFERROR(__xludf.DUMMYFUNCTION("IF(OR($A24="""", BS$5=""""), """", IF(ISNUMBER(MATCH(BS$5, IFERROR(FILTER('MASTER LIST'!$N$2:$AB$294, 'MASTER LIST'!$A$2:$A$294=$A24), """"), 0)), ""Y"", """"))"),"")</f>
        <v/>
      </c>
      <c r="BT24" s="92" t="str">
        <f>IFERROR(__xludf.DUMMYFUNCTION("IF(OR($A24="""", BT$5=""""), """", IF(ISNUMBER(MATCH(BT$5, IFERROR(FILTER('MASTER LIST'!$N$2:$AB$294, 'MASTER LIST'!$A$2:$A$294=$A24), """"), 0)), ""Y"", """"))"),"")</f>
        <v/>
      </c>
      <c r="BU24" s="92" t="str">
        <f>IFERROR(__xludf.DUMMYFUNCTION("IF(OR($A24="""", BU$5=""""), """", IF(ISNUMBER(MATCH(BU$5, IFERROR(FILTER('MASTER LIST'!$N$2:$AB$294, 'MASTER LIST'!$A$2:$A$294=$A24), """"), 0)), ""Y"", """"))"),"")</f>
        <v/>
      </c>
      <c r="BV24" s="92" t="str">
        <f>IFERROR(__xludf.DUMMYFUNCTION("IF(OR($A24="""", BV$5=""""), """", IF(ISNUMBER(MATCH(BV$5, IFERROR(FILTER('MASTER LIST'!$N$2:$AB$294, 'MASTER LIST'!$A$2:$A$294=$A24), """"), 0)), ""Y"", """"))"),"")</f>
        <v/>
      </c>
      <c r="BW24" s="92" t="str">
        <f>IFERROR(__xludf.DUMMYFUNCTION("IF(OR($A24="""", BW$5=""""), """", IF(ISNUMBER(MATCH(BW$5, IFERROR(FILTER('MASTER LIST'!$N$2:$AB$294, 'MASTER LIST'!$A$2:$A$294=$A24), """"), 0)), ""Y"", """"))"),"")</f>
        <v/>
      </c>
      <c r="BX24" s="92" t="str">
        <f>IFERROR(__xludf.DUMMYFUNCTION("IF(OR($A24="""", BX$5=""""), """", IF(ISNUMBER(MATCH(BX$5, IFERROR(FILTER('MASTER LIST'!$N$2:$AB$294, 'MASTER LIST'!$A$2:$A$294=$A24), """"), 0)), ""Y"", """"))"),"")</f>
        <v/>
      </c>
      <c r="BY24" s="92" t="str">
        <f>IFERROR(__xludf.DUMMYFUNCTION("IF(OR($A24="""", BY$5=""""), """", IF(ISNUMBER(MATCH(BY$5, IFERROR(FILTER('MASTER LIST'!$N$2:$AB$294, 'MASTER LIST'!$A$2:$A$294=$A24), """"), 0)), ""Y"", """"))"),"")</f>
        <v/>
      </c>
      <c r="BZ24" s="92" t="str">
        <f>IFERROR(__xludf.DUMMYFUNCTION("IF(OR($A24="""", BZ$5=""""), """", IF(ISNUMBER(MATCH(BZ$5, IFERROR(FILTER('MASTER LIST'!$N$2:$AB$294, 'MASTER LIST'!$A$2:$A$294=$A24), """"), 0)), ""Y"", """"))"),"")</f>
        <v/>
      </c>
      <c r="CA24" s="92" t="str">
        <f>IFERROR(__xludf.DUMMYFUNCTION("IF(OR($A24="""", CA$5=""""), """", IF(ISNUMBER(MATCH(CA$5, IFERROR(FILTER('MASTER LIST'!$N$2:$AB$294, 'MASTER LIST'!$A$2:$A$294=$A24), """"), 0)), ""Y"", """"))"),"")</f>
        <v/>
      </c>
      <c r="CB24" s="92" t="str">
        <f>IFERROR(__xludf.DUMMYFUNCTION("IF(OR($A24="""", CB$5=""""), """", IF(ISNUMBER(MATCH(CB$5, IFERROR(FILTER('MASTER LIST'!$N$2:$AB$294, 'MASTER LIST'!$A$2:$A$294=$A24), """"), 0)), ""Y"", """"))"),"")</f>
        <v/>
      </c>
      <c r="CC24" s="92"/>
      <c r="CD24" s="92"/>
      <c r="CE24" s="92"/>
      <c r="CF24" s="92"/>
      <c r="CG24" s="92"/>
      <c r="CH24" s="92"/>
      <c r="CI24" s="92"/>
      <c r="CJ24" s="92"/>
      <c r="CK24" s="92"/>
    </row>
    <row r="25">
      <c r="A25" s="75"/>
      <c r="B25" s="75"/>
      <c r="C25" s="75"/>
      <c r="D25" s="75"/>
      <c r="E25" s="75"/>
      <c r="F25" s="75"/>
      <c r="G25" s="91" t="str">
        <f>IFERROR(__xludf.DUMMYFUNCTION("IF(OR($A25="""", G$5=""""), """", IF(ISNUMBER(MATCH(G$5, IFERROR(FILTER('MASTER LIST'!$N$2:$W$294, 'MASTER LIST'!$A$2:$A$294=$A25), """"), 0)), ""Y"", """"))"),"")</f>
        <v/>
      </c>
      <c r="H25" s="92" t="str">
        <f>IFERROR(__xludf.DUMMYFUNCTION("IF(OR($A25="""", H$5=""""), """", IF(ISNUMBER(MATCH(H$5, IFERROR(FILTER('MASTER LIST'!$N$2:$AB$294, 'MASTER LIST'!$A$2:$A$294=$A25), """"), 0)), ""Y"", """"))"),"")</f>
        <v/>
      </c>
      <c r="I25" s="92" t="str">
        <f>IFERROR(__xludf.DUMMYFUNCTION("IF(OR($A25="""", I$5=""""), """", IF(ISNUMBER(MATCH(I$5, IFERROR(FILTER('MASTER LIST'!$N$2:$AB$294, 'MASTER LIST'!$A$2:$A$294=$A25), """"), 0)), ""Y"", """"))"),"")</f>
        <v/>
      </c>
      <c r="J25" s="92" t="str">
        <f>IFERROR(__xludf.DUMMYFUNCTION("IF(OR($A25="""", J$5=""""), """", IF(ISNUMBER(MATCH(J$5, IFERROR(FILTER('MASTER LIST'!$N$2:$W$294, 'MASTER LIST'!$A$2:$A$294=$A25), """"), 0)), ""Y"", """"))"),"")</f>
        <v/>
      </c>
      <c r="K25" s="92" t="str">
        <f>IFERROR(__xludf.DUMMYFUNCTION("IF(OR($A25="""", K$5=""""), """", IF(ISNUMBER(MATCH(K$5, IFERROR(FILTER('MASTER LIST'!$N$2:$AB$294, 'MASTER LIST'!$A$2:$A$294=$A25), """"), 0)), ""Y"", """"))"),"")</f>
        <v/>
      </c>
      <c r="L25" s="92" t="str">
        <f>IFERROR(__xludf.DUMMYFUNCTION("IF(OR($A25="""", L$5=""""), """", IF(ISNUMBER(MATCH(L$5, IFERROR(FILTER('MASTER LIST'!$N$2:$AB$294, 'MASTER LIST'!$A$2:$A$294=$A25), """"), 0)), ""Y"", """"))"),"")</f>
        <v/>
      </c>
      <c r="M25" s="92" t="str">
        <f>IFERROR(__xludf.DUMMYFUNCTION("IF(OR($A25="""", M$5=""""), """", IF(ISNUMBER(MATCH(M$5, IFERROR(FILTER('MASTER LIST'!$N$2:$AB$294, 'MASTER LIST'!$A$2:$A$294=$A25), """"), 0)), ""Y"", """"))"),"")</f>
        <v/>
      </c>
      <c r="N25" s="92" t="str">
        <f>IFERROR(__xludf.DUMMYFUNCTION("IF(OR($A25="""", N$5=""""), """", IF(ISNUMBER(MATCH(N$5, IFERROR(FILTER('MASTER LIST'!$N$2:$AB$294, 'MASTER LIST'!$A$2:$A$294=$A25), """"), 0)), ""Y"", """"))"),"")</f>
        <v/>
      </c>
      <c r="O25" s="92" t="str">
        <f>IFERROR(__xludf.DUMMYFUNCTION("IF(OR($A25="""", O$5=""""), """", IF(ISNUMBER(MATCH(O$5, IFERROR(FILTER('MASTER LIST'!$N$2:$AB$294, 'MASTER LIST'!$A$2:$A$294=$A25), """"), 0)), ""Y"", """"))"),"")</f>
        <v/>
      </c>
      <c r="P25" s="92" t="str">
        <f>IFERROR(__xludf.DUMMYFUNCTION("IF(OR($A25="""", P$5=""""), """", IF(ISNUMBER(MATCH(P$5, IFERROR(FILTER('MASTER LIST'!$N$2:$AB$294, 'MASTER LIST'!$A$2:$A$294=$A25), """"), 0)), ""Y"", """"))"),"")</f>
        <v/>
      </c>
      <c r="Q25" s="92" t="str">
        <f>IFERROR(__xludf.DUMMYFUNCTION("IF(OR($A25="""", Q$5=""""), """", IF(ISNUMBER(MATCH(Q$5, IFERROR(FILTER('MASTER LIST'!$N$2:$AB$294, 'MASTER LIST'!$A$2:$A$294=$A25), """"), 0)), ""Y"", """"))"),"")</f>
        <v/>
      </c>
      <c r="R25" s="92" t="str">
        <f>IFERROR(__xludf.DUMMYFUNCTION("IF(OR($A25="""", R$5=""""), """", IF(ISNUMBER(MATCH(R$5, IFERROR(FILTER('MASTER LIST'!$N$2:$AB$294, 'MASTER LIST'!$A$2:$A$294=$A25), """"), 0)), ""Y"", """"))"),"")</f>
        <v/>
      </c>
      <c r="S25" s="92" t="str">
        <f>IFERROR(__xludf.DUMMYFUNCTION("IF(OR($A25="""", S$5=""""), """", IF(ISNUMBER(MATCH(S$5, IFERROR(FILTER('MASTER LIST'!$N$2:$AB$294, 'MASTER LIST'!$A$2:$A$294=$A25), """"), 0)), ""Y"", """"))"),"")</f>
        <v/>
      </c>
      <c r="T25" s="92" t="str">
        <f>IFERROR(__xludf.DUMMYFUNCTION("IF(OR($A25="""", T$5=""""), """", IF(ISNUMBER(MATCH(T$5, IFERROR(FILTER('MASTER LIST'!$N$2:$AB$294, 'MASTER LIST'!$A$2:$A$294=$A25), """"), 0)), ""Y"", """"))"),"")</f>
        <v/>
      </c>
      <c r="U25" s="92" t="str">
        <f>IFERROR(__xludf.DUMMYFUNCTION("IF(OR($A25="""", U$5=""""), """", IF(ISNUMBER(MATCH(U$5, IFERROR(FILTER('MASTER LIST'!$N$2:$AB$294, 'MASTER LIST'!$A$2:$A$294=$A25), """"), 0)), ""Y"", """"))"),"")</f>
        <v/>
      </c>
      <c r="V25" s="92" t="str">
        <f>IFERROR(__xludf.DUMMYFUNCTION("IF(OR($A25="""", V$5=""""), """", IF(ISNUMBER(MATCH(V$5, IFERROR(FILTER('MASTER LIST'!$N$2:$AB$294, 'MASTER LIST'!$A$2:$A$294=$A25), """"), 0)), ""Y"", """"))"),"")</f>
        <v/>
      </c>
      <c r="W25" s="92" t="str">
        <f>IFERROR(__xludf.DUMMYFUNCTION("IF(OR($A25="""", W$5=""""), """", IF(ISNUMBER(MATCH(W$5, IFERROR(FILTER('MASTER LIST'!$N$2:$AB$294, 'MASTER LIST'!$A$2:$A$294=$A25), """"), 0)), ""Y"", """"))"),"")</f>
        <v/>
      </c>
      <c r="X25" s="92" t="str">
        <f>IFERROR(__xludf.DUMMYFUNCTION("IF(OR($A25="""", X$5=""""), """", IF(ISNUMBER(MATCH(X$5, IFERROR(FILTER('MASTER LIST'!$N$2:$AB$294, 'MASTER LIST'!$A$2:$A$294=$A25), """"), 0)), ""Y"", """"))"),"")</f>
        <v/>
      </c>
      <c r="Y25" s="92" t="str">
        <f>IFERROR(__xludf.DUMMYFUNCTION("IF(OR($A25="""", Y$5=""""), """", IF(ISNUMBER(MATCH(Y$5, IFERROR(FILTER('MASTER LIST'!$N$2:$AB$294, 'MASTER LIST'!$A$2:$A$294=$A25), """"), 0)), ""Y"", """"))"),"")</f>
        <v/>
      </c>
      <c r="Z25" s="92" t="str">
        <f>IFERROR(__xludf.DUMMYFUNCTION("IF(OR($A25="""", Z$5=""""), """", IF(ISNUMBER(MATCH(Z$5, IFERROR(FILTER('MASTER LIST'!$N$2:$AB$294, 'MASTER LIST'!$A$2:$A$294=$A25), """"), 0)), ""Y"", """"))"),"")</f>
        <v/>
      </c>
      <c r="AA25" s="92" t="str">
        <f>IFERROR(__xludf.DUMMYFUNCTION("IF(OR($A25="""", AA$5=""""), """", IF(ISNUMBER(MATCH(AA$5, IFERROR(FILTER('MASTER LIST'!$N$2:$AB$294, 'MASTER LIST'!$A$2:$A$294=$A25), """"), 0)), ""Y"", """"))"),"")</f>
        <v/>
      </c>
      <c r="AB25" s="92" t="str">
        <f>IFERROR(__xludf.DUMMYFUNCTION("IF(OR($A25="""", AB$5=""""), """", IF(ISNUMBER(MATCH(AB$5, IFERROR(FILTER('MASTER LIST'!$N$2:$AB$294, 'MASTER LIST'!$A$2:$A$294=$A25), """"), 0)), ""Y"", """"))"),"")</f>
        <v/>
      </c>
      <c r="AC25" s="92" t="str">
        <f>IFERROR(__xludf.DUMMYFUNCTION("IF(OR($A25="""", AC$5=""""), """", IF(ISNUMBER(MATCH(AC$5, IFERROR(FILTER('MASTER LIST'!$N$2:$AB$294, 'MASTER LIST'!$A$2:$A$294=$A25), """"), 0)), ""Y"", """"))"),"")</f>
        <v/>
      </c>
      <c r="AD25" s="92" t="str">
        <f>IFERROR(__xludf.DUMMYFUNCTION("IF(OR($A25="""", AD$5=""""), """", IF(ISNUMBER(MATCH(AD$5, IFERROR(FILTER('MASTER LIST'!$N$2:$AB$294, 'MASTER LIST'!$A$2:$A$294=$A25), """"), 0)), ""Y"", """"))"),"")</f>
        <v/>
      </c>
      <c r="AE25" s="92" t="str">
        <f>IFERROR(__xludf.DUMMYFUNCTION("IF(OR($A25="""", AE$5=""""), """", IF(ISNUMBER(MATCH(AE$5, IFERROR(FILTER('MASTER LIST'!$N$2:$AB$294, 'MASTER LIST'!$A$2:$A$294=$A25), """"), 0)), ""Y"", """"))"),"")</f>
        <v/>
      </c>
      <c r="AF25" s="92" t="str">
        <f>IFERROR(__xludf.DUMMYFUNCTION("IF(OR($A25="""", AF$5=""""), """", IF(ISNUMBER(MATCH(AF$5, IFERROR(FILTER('MASTER LIST'!$N$2:$AB$294, 'MASTER LIST'!$A$2:$A$294=$A25), """"), 0)), ""Y"", """"))"),"")</f>
        <v/>
      </c>
      <c r="AG25" s="92" t="str">
        <f>IFERROR(__xludf.DUMMYFUNCTION("IF(OR($A25="""", AG$5=""""), """", IF(ISNUMBER(MATCH(AG$5, IFERROR(FILTER('MASTER LIST'!$N$2:$AB$294, 'MASTER LIST'!$A$2:$A$294=$A25), """"), 0)), ""Y"", """"))"),"")</f>
        <v/>
      </c>
      <c r="AH25" s="92" t="str">
        <f>IFERROR(__xludf.DUMMYFUNCTION("IF(OR($A25="""", AH$5=""""), """", IF(ISNUMBER(MATCH(AH$5, IFERROR(FILTER('MASTER LIST'!$N$2:$AB$294, 'MASTER LIST'!$A$2:$A$294=$A25), """"), 0)), ""Y"", """"))"),"")</f>
        <v/>
      </c>
      <c r="AI25" s="92" t="str">
        <f>IFERROR(__xludf.DUMMYFUNCTION("IF(OR($A25="""", AI$5=""""), """", IF(ISNUMBER(MATCH(AI$5, IFERROR(FILTER('MASTER LIST'!$N$2:$AB$294, 'MASTER LIST'!$A$2:$A$294=$A25), """"), 0)), ""Y"", """"))"),"")</f>
        <v/>
      </c>
      <c r="AJ25" s="92" t="str">
        <f>IFERROR(__xludf.DUMMYFUNCTION("IF(OR($A25="""", AJ$5=""""), """", IF(ISNUMBER(MATCH(AJ$5, IFERROR(FILTER('MASTER LIST'!$N$2:$AB$294, 'MASTER LIST'!$A$2:$A$294=$A25), """"), 0)), ""Y"", """"))"),"")</f>
        <v/>
      </c>
      <c r="AK25" s="92" t="str">
        <f>IFERROR(__xludf.DUMMYFUNCTION("IF(OR($A25="""", AK$5=""""), """", IF(ISNUMBER(MATCH(AK$5, IFERROR(FILTER('MASTER LIST'!$N$2:$AB$294, 'MASTER LIST'!$A$2:$A$294=$A25), """"), 0)), ""Y"", """"))"),"")</f>
        <v/>
      </c>
      <c r="AL25" s="92" t="str">
        <f>IFERROR(__xludf.DUMMYFUNCTION("IF(OR($A25="""", AL$5=""""), """", IF(ISNUMBER(MATCH(AL$5, IFERROR(FILTER('MASTER LIST'!$N$2:$AB$294, 'MASTER LIST'!$A$2:$A$294=$A25), """"), 0)), ""Y"", """"))"),"")</f>
        <v/>
      </c>
      <c r="AM25" s="92" t="str">
        <f>IFERROR(__xludf.DUMMYFUNCTION("IF(OR($A25="""", AM$5=""""), """", IF(ISNUMBER(MATCH(AM$5, IFERROR(FILTER('MASTER LIST'!$N$2:$AB$294, 'MASTER LIST'!$A$2:$A$294=$A25), """"), 0)), ""Y"", """"))"),"")</f>
        <v/>
      </c>
      <c r="AN25" s="92" t="str">
        <f>IFERROR(__xludf.DUMMYFUNCTION("IF(OR($A25="""", AN$5=""""), """", IF(ISNUMBER(MATCH(AN$5, IFERROR(FILTER('MASTER LIST'!$N$2:$AB$294, 'MASTER LIST'!$A$2:$A$294=$A25), """"), 0)), ""Y"", """"))"),"")</f>
        <v/>
      </c>
      <c r="AO25" s="92" t="str">
        <f>IFERROR(__xludf.DUMMYFUNCTION("IF(OR($A25="""", AO$5=""""), """", IF(ISNUMBER(MATCH(AO$5, IFERROR(FILTER('MASTER LIST'!$N$2:$AB$294, 'MASTER LIST'!$A$2:$A$294=$A25), """"), 0)), ""Y"", """"))"),"")</f>
        <v/>
      </c>
      <c r="AP25" s="92" t="str">
        <f>IFERROR(__xludf.DUMMYFUNCTION("IF(OR($A25="""", AP$5=""""), """", IF(ISNUMBER(MATCH(AP$5, IFERROR(FILTER('MASTER LIST'!$N$2:$AB$294, 'MASTER LIST'!$A$2:$A$294=$A25), """"), 0)), ""Y"", """"))"),"")</f>
        <v/>
      </c>
      <c r="AQ25" s="92" t="str">
        <f>IFERROR(__xludf.DUMMYFUNCTION("IF(OR($A25="""", AQ$5=""""), """", IF(ISNUMBER(MATCH(AQ$5, IFERROR(FILTER('MASTER LIST'!$N$2:$AB$294, 'MASTER LIST'!$A$2:$A$294=$A25), """"), 0)), ""Y"", """"))"),"")</f>
        <v/>
      </c>
      <c r="AR25" s="92" t="str">
        <f>IFERROR(__xludf.DUMMYFUNCTION("IF(OR($A25="""", AR$5=""""), """", IF(ISNUMBER(MATCH(AR$5, IFERROR(FILTER('MASTER LIST'!$N$2:$AB$294, 'MASTER LIST'!$A$2:$A$294=$A25), """"), 0)), ""Y"", """"))"),"")</f>
        <v/>
      </c>
      <c r="AS25" s="92" t="str">
        <f>IFERROR(__xludf.DUMMYFUNCTION("IF(OR($A25="""", AS$5=""""), """", IF(ISNUMBER(MATCH(AS$5, IFERROR(FILTER('MASTER LIST'!$N$2:$AB$294, 'MASTER LIST'!$A$2:$A$294=$A25), """"), 0)), ""Y"", """"))"),"")</f>
        <v/>
      </c>
      <c r="AT25" s="92" t="str">
        <f>IFERROR(__xludf.DUMMYFUNCTION("IF(OR($A25="""", AT$5=""""), """", IF(ISNUMBER(MATCH(AT$5, IFERROR(FILTER('MASTER LIST'!$N$2:$AB$294, 'MASTER LIST'!$A$2:$A$294=$A25), """"), 0)), ""Y"", """"))"),"")</f>
        <v/>
      </c>
      <c r="AU25" s="92" t="str">
        <f>IFERROR(__xludf.DUMMYFUNCTION("IF(OR($A25="""", AU$5=""""), """", IF(ISNUMBER(MATCH(AU$5, IFERROR(FILTER('MASTER LIST'!$N$2:$AB$294, 'MASTER LIST'!$A$2:$A$294=$A25), """"), 0)), ""Y"", """"))"),"")</f>
        <v/>
      </c>
      <c r="AV25" s="92" t="str">
        <f>IFERROR(__xludf.DUMMYFUNCTION("IF(OR($A25="""", AV$5=""""), """", IF(ISNUMBER(MATCH(AV$5, IFERROR(FILTER('MASTER LIST'!$N$2:$AB$294, 'MASTER LIST'!$A$2:$A$294=$A25), """"), 0)), ""Y"", """"))"),"")</f>
        <v/>
      </c>
      <c r="AW25" s="92" t="str">
        <f>IFERROR(__xludf.DUMMYFUNCTION("IF(OR($A25="""", AW$5=""""), """", IF(ISNUMBER(MATCH(AW$5, IFERROR(FILTER('MASTER LIST'!$N$2:$AB$294, 'MASTER LIST'!$A$2:$A$294=$A25), """"), 0)), ""Y"", """"))"),"")</f>
        <v/>
      </c>
      <c r="AX25" s="92" t="str">
        <f>IFERROR(__xludf.DUMMYFUNCTION("IF(OR($A25="""", AX$5=""""), """", IF(ISNUMBER(MATCH(AX$5, IFERROR(FILTER('MASTER LIST'!$N$2:$AB$294, 'MASTER LIST'!$A$2:$A$294=$A25), """"), 0)), ""Y"", """"))"),"")</f>
        <v/>
      </c>
      <c r="AY25" s="92" t="str">
        <f>IFERROR(__xludf.DUMMYFUNCTION("IF(OR($A25="""", AY$5=""""), """", IF(ISNUMBER(MATCH(AY$5, IFERROR(FILTER('MASTER LIST'!$N$2:$AB$294, 'MASTER LIST'!$A$2:$A$294=$A25), """"), 0)), ""Y"", """"))"),"")</f>
        <v/>
      </c>
      <c r="AZ25" s="92" t="str">
        <f>IFERROR(__xludf.DUMMYFUNCTION("IF(OR($A25="""", AZ$5=""""), """", IF(ISNUMBER(MATCH(AZ$5, IFERROR(FILTER('MASTER LIST'!$N$2:$AB$294, 'MASTER LIST'!$A$2:$A$294=$A25), """"), 0)), ""Y"", """"))"),"")</f>
        <v/>
      </c>
      <c r="BA25" s="92" t="str">
        <f>IFERROR(__xludf.DUMMYFUNCTION("IF(OR($A25="""", BA$5=""""), """", IF(ISNUMBER(MATCH(BA$5, IFERROR(FILTER('MASTER LIST'!$N$2:$AB$294, 'MASTER LIST'!$A$2:$A$294=$A25), """"), 0)), ""Y"", """"))"),"")</f>
        <v/>
      </c>
      <c r="BB25" s="92" t="str">
        <f>IFERROR(__xludf.DUMMYFUNCTION("IF(OR($A25="""", BB$5=""""), """", IF(ISNUMBER(MATCH(BB$5, IFERROR(FILTER('MASTER LIST'!$N$2:$AB$294, 'MASTER LIST'!$A$2:$A$294=$A25), """"), 0)), ""Y"", """"))"),"")</f>
        <v/>
      </c>
      <c r="BC25" s="92" t="str">
        <f>IFERROR(__xludf.DUMMYFUNCTION("IF(OR($A25="""", BC$5=""""), """", IF(ISNUMBER(MATCH(BC$5, IFERROR(FILTER('MASTER LIST'!$N$2:$AB$294, 'MASTER LIST'!$A$2:$A$294=$A25), """"), 0)), ""Y"", """"))"),"")</f>
        <v/>
      </c>
      <c r="BD25" s="92" t="str">
        <f>IFERROR(__xludf.DUMMYFUNCTION("IF(OR($A25="""", BD$5=""""), """", IF(ISNUMBER(MATCH(BD$5, IFERROR(FILTER('MASTER LIST'!$N$2:$AB$294, 'MASTER LIST'!$A$2:$A$294=$A25), """"), 0)), ""Y"", """"))"),"")</f>
        <v/>
      </c>
      <c r="BE25" s="92" t="str">
        <f>IFERROR(__xludf.DUMMYFUNCTION("IF(OR($A25="""", BE$5=""""), """", IF(ISNUMBER(MATCH(BE$5, IFERROR(FILTER('MASTER LIST'!$N$2:$AB$294, 'MASTER LIST'!$A$2:$A$294=$A25), """"), 0)), ""Y"", """"))"),"")</f>
        <v/>
      </c>
      <c r="BF25" s="92" t="str">
        <f>IFERROR(__xludf.DUMMYFUNCTION("IF(OR($A25="""", BF$5=""""), """", IF(ISNUMBER(MATCH(BF$5, IFERROR(FILTER('MASTER LIST'!$N$2:$AB$294, 'MASTER LIST'!$A$2:$A$294=$A25), """"), 0)), ""Y"", """"))"),"")</f>
        <v/>
      </c>
      <c r="BG25" s="92" t="str">
        <f>IFERROR(__xludf.DUMMYFUNCTION("IF(OR($A25="""", BG$5=""""), """", IF(ISNUMBER(MATCH(BG$5, IFERROR(FILTER('MASTER LIST'!$N$2:$AB$294, 'MASTER LIST'!$A$2:$A$294=$A25), """"), 0)), ""Y"", """"))"),"")</f>
        <v/>
      </c>
      <c r="BH25" s="92" t="str">
        <f>IFERROR(__xludf.DUMMYFUNCTION("IF(OR($A25="""", BH$5=""""), """", IF(ISNUMBER(MATCH(BH$5, IFERROR(FILTER('MASTER LIST'!$N$2:$AB$294, 'MASTER LIST'!$A$2:$A$294=$A25), """"), 0)), ""Y"", """"))"),"")</f>
        <v/>
      </c>
      <c r="BI25" s="92" t="str">
        <f>IFERROR(__xludf.DUMMYFUNCTION("IF(OR($A25="""", BI$5=""""), """", IF(ISNUMBER(MATCH(BI$5, IFERROR(FILTER('MASTER LIST'!$N$2:$AB$294, 'MASTER LIST'!$A$2:$A$294=$A25), """"), 0)), ""Y"", """"))"),"")</f>
        <v/>
      </c>
      <c r="BJ25" s="92" t="str">
        <f>IFERROR(__xludf.DUMMYFUNCTION("IF(OR($A25="""", BJ$5=""""), """", IF(ISNUMBER(MATCH(BJ$5, IFERROR(FILTER('MASTER LIST'!$N$2:$AB$294, 'MASTER LIST'!$A$2:$A$294=$A25), """"), 0)), ""Y"", """"))"),"")</f>
        <v/>
      </c>
      <c r="BK25" s="92" t="str">
        <f>IFERROR(__xludf.DUMMYFUNCTION("IF(OR($A25="""", BK$5=""""), """", IF(ISNUMBER(MATCH(BK$5, IFERROR(FILTER('MASTER LIST'!$N$2:$AB$294, 'MASTER LIST'!$A$2:$A$294=$A25), """"), 0)), ""Y"", """"))"),"")</f>
        <v/>
      </c>
      <c r="BL25" s="92" t="str">
        <f>IFERROR(__xludf.DUMMYFUNCTION("IF(OR($A25="""", BL$5=""""), """", IF(ISNUMBER(MATCH(BL$5, IFERROR(FILTER('MASTER LIST'!$N$2:$AB$294, 'MASTER LIST'!$A$2:$A$294=$A25), """"), 0)), ""Y"", """"))"),"")</f>
        <v/>
      </c>
      <c r="BM25" s="92" t="str">
        <f>IFERROR(__xludf.DUMMYFUNCTION("IF(OR($A25="""", BM$5=""""), """", IF(ISNUMBER(MATCH(BM$5, IFERROR(FILTER('MASTER LIST'!$N$2:$AB$294, 'MASTER LIST'!$A$2:$A$294=$A25), """"), 0)), ""Y"", """"))"),"")</f>
        <v/>
      </c>
      <c r="BN25" s="92" t="str">
        <f>IFERROR(__xludf.DUMMYFUNCTION("IF(OR($A25="""", BN$5=""""), """", IF(ISNUMBER(MATCH(BN$5, IFERROR(FILTER('MASTER LIST'!$N$2:$AB$294, 'MASTER LIST'!$A$2:$A$294=$A25), """"), 0)), ""Y"", """"))"),"")</f>
        <v/>
      </c>
      <c r="BO25" s="92" t="str">
        <f>IFERROR(__xludf.DUMMYFUNCTION("IF(OR($A25="""", BO$5=""""), """", IF(ISNUMBER(MATCH(BO$5, IFERROR(FILTER('MASTER LIST'!$N$2:$AB$294, 'MASTER LIST'!$A$2:$A$294=$A25), """"), 0)), ""Y"", """"))"),"")</f>
        <v/>
      </c>
      <c r="BP25" s="92" t="str">
        <f>IFERROR(__xludf.DUMMYFUNCTION("IF(OR($A25="""", BP$5=""""), """", IF(ISNUMBER(MATCH(BP$5, IFERROR(FILTER('MASTER LIST'!$N$2:$AB$294, 'MASTER LIST'!$A$2:$A$294=$A25), """"), 0)), ""Y"", """"))"),"")</f>
        <v/>
      </c>
      <c r="BQ25" s="92" t="str">
        <f>IFERROR(__xludf.DUMMYFUNCTION("IF(OR($A25="""", BQ$5=""""), """", IF(ISNUMBER(MATCH(BQ$5, IFERROR(FILTER('MASTER LIST'!$N$2:$AB$294, 'MASTER LIST'!$A$2:$A$294=$A25), """"), 0)), ""Y"", """"))"),"")</f>
        <v/>
      </c>
      <c r="BR25" s="92" t="str">
        <f>IFERROR(__xludf.DUMMYFUNCTION("IF(OR($A25="""", BR$5=""""), """", IF(ISNUMBER(MATCH(BR$5, IFERROR(FILTER('MASTER LIST'!$N$2:$AB$294, 'MASTER LIST'!$A$2:$A$294=$A25), """"), 0)), ""Y"", """"))"),"")</f>
        <v/>
      </c>
      <c r="BS25" s="92" t="str">
        <f>IFERROR(__xludf.DUMMYFUNCTION("IF(OR($A25="""", BS$5=""""), """", IF(ISNUMBER(MATCH(BS$5, IFERROR(FILTER('MASTER LIST'!$N$2:$AB$294, 'MASTER LIST'!$A$2:$A$294=$A25), """"), 0)), ""Y"", """"))"),"")</f>
        <v/>
      </c>
      <c r="BT25" s="92" t="str">
        <f>IFERROR(__xludf.DUMMYFUNCTION("IF(OR($A25="""", BT$5=""""), """", IF(ISNUMBER(MATCH(BT$5, IFERROR(FILTER('MASTER LIST'!$N$2:$AB$294, 'MASTER LIST'!$A$2:$A$294=$A25), """"), 0)), ""Y"", """"))"),"")</f>
        <v/>
      </c>
      <c r="BU25" s="92" t="str">
        <f>IFERROR(__xludf.DUMMYFUNCTION("IF(OR($A25="""", BU$5=""""), """", IF(ISNUMBER(MATCH(BU$5, IFERROR(FILTER('MASTER LIST'!$N$2:$AB$294, 'MASTER LIST'!$A$2:$A$294=$A25), """"), 0)), ""Y"", """"))"),"")</f>
        <v/>
      </c>
      <c r="BV25" s="92" t="str">
        <f>IFERROR(__xludf.DUMMYFUNCTION("IF(OR($A25="""", BV$5=""""), """", IF(ISNUMBER(MATCH(BV$5, IFERROR(FILTER('MASTER LIST'!$N$2:$AB$294, 'MASTER LIST'!$A$2:$A$294=$A25), """"), 0)), ""Y"", """"))"),"")</f>
        <v/>
      </c>
      <c r="BW25" s="92" t="str">
        <f>IFERROR(__xludf.DUMMYFUNCTION("IF(OR($A25="""", BW$5=""""), """", IF(ISNUMBER(MATCH(BW$5, IFERROR(FILTER('MASTER LIST'!$N$2:$AB$294, 'MASTER LIST'!$A$2:$A$294=$A25), """"), 0)), ""Y"", """"))"),"")</f>
        <v/>
      </c>
      <c r="BX25" s="92" t="str">
        <f>IFERROR(__xludf.DUMMYFUNCTION("IF(OR($A25="""", BX$5=""""), """", IF(ISNUMBER(MATCH(BX$5, IFERROR(FILTER('MASTER LIST'!$N$2:$AB$294, 'MASTER LIST'!$A$2:$A$294=$A25), """"), 0)), ""Y"", """"))"),"")</f>
        <v/>
      </c>
      <c r="BY25" s="92" t="str">
        <f>IFERROR(__xludf.DUMMYFUNCTION("IF(OR($A25="""", BY$5=""""), """", IF(ISNUMBER(MATCH(BY$5, IFERROR(FILTER('MASTER LIST'!$N$2:$AB$294, 'MASTER LIST'!$A$2:$A$294=$A25), """"), 0)), ""Y"", """"))"),"")</f>
        <v/>
      </c>
      <c r="BZ25" s="92" t="str">
        <f>IFERROR(__xludf.DUMMYFUNCTION("IF(OR($A25="""", BZ$5=""""), """", IF(ISNUMBER(MATCH(BZ$5, IFERROR(FILTER('MASTER LIST'!$N$2:$AB$294, 'MASTER LIST'!$A$2:$A$294=$A25), """"), 0)), ""Y"", """"))"),"")</f>
        <v/>
      </c>
      <c r="CA25" s="92" t="str">
        <f>IFERROR(__xludf.DUMMYFUNCTION("IF(OR($A25="""", CA$5=""""), """", IF(ISNUMBER(MATCH(CA$5, IFERROR(FILTER('MASTER LIST'!$N$2:$AB$294, 'MASTER LIST'!$A$2:$A$294=$A25), """"), 0)), ""Y"", """"))"),"")</f>
        <v/>
      </c>
      <c r="CB25" s="92" t="str">
        <f>IFERROR(__xludf.DUMMYFUNCTION("IF(OR($A25="""", CB$5=""""), """", IF(ISNUMBER(MATCH(CB$5, IFERROR(FILTER('MASTER LIST'!$N$2:$AB$294, 'MASTER LIST'!$A$2:$A$294=$A25), """"), 0)), ""Y"", """"))"),"")</f>
        <v/>
      </c>
      <c r="CC25" s="92"/>
      <c r="CD25" s="92"/>
      <c r="CE25" s="92"/>
      <c r="CF25" s="92"/>
      <c r="CG25" s="92"/>
      <c r="CH25" s="92"/>
      <c r="CI25" s="92"/>
      <c r="CJ25" s="92"/>
      <c r="CK25" s="92"/>
    </row>
    <row r="26">
      <c r="A26" s="75"/>
      <c r="B26" s="75"/>
      <c r="C26" s="75"/>
      <c r="D26" s="75"/>
      <c r="E26" s="75"/>
      <c r="F26" s="75"/>
      <c r="G26" s="92" t="str">
        <f>IFERROR(__xludf.DUMMYFUNCTION("IF(OR($A26="""", G$5=""""), """", IF(ISNUMBER(MATCH(G$5, IFERROR(FILTER('MASTER LIST'!$N$2:$AB$294, 'MASTER LIST'!$A$2:$A$294=$A26), """"), 0)), ""Y"", """"))"),"")</f>
        <v/>
      </c>
      <c r="H26" s="92" t="str">
        <f>IFERROR(__xludf.DUMMYFUNCTION("IF(OR($A26="""", H$5=""""), """", IF(ISNUMBER(MATCH(H$5, IFERROR(FILTER('MASTER LIST'!$N$2:$AB$294, 'MASTER LIST'!$A$2:$A$294=$A26), """"), 0)), ""Y"", """"))"),"")</f>
        <v/>
      </c>
      <c r="I26" s="92" t="str">
        <f>IFERROR(__xludf.DUMMYFUNCTION("IF(OR($A26="""", I$5=""""), """", IF(ISNUMBER(MATCH(I$5, IFERROR(FILTER('MASTER LIST'!$N$2:$AB$294, 'MASTER LIST'!$A$2:$A$294=$A26), """"), 0)), ""Y"", """"))"),"")</f>
        <v/>
      </c>
      <c r="J26" s="92" t="str">
        <f>IFERROR(__xludf.DUMMYFUNCTION("IF(OR($A26="""", J$5=""""), """", IF(ISNUMBER(MATCH(J$5, IFERROR(FILTER('MASTER LIST'!$N$2:$W$294, 'MASTER LIST'!$A$2:$A$294=$A26), """"), 0)), ""Y"", """"))"),"")</f>
        <v/>
      </c>
      <c r="K26" s="92" t="str">
        <f>IFERROR(__xludf.DUMMYFUNCTION("IF(OR($A26="""", K$5=""""), """", IF(ISNUMBER(MATCH(K$5, IFERROR(FILTER('MASTER LIST'!$N$2:$AB$294, 'MASTER LIST'!$A$2:$A$294=$A26), """"), 0)), ""Y"", """"))"),"")</f>
        <v/>
      </c>
      <c r="L26" s="92" t="str">
        <f>IFERROR(__xludf.DUMMYFUNCTION("IF(OR($A26="""", L$5=""""), """", IF(ISNUMBER(MATCH(L$5, IFERROR(FILTER('MASTER LIST'!$N$2:$AB$294, 'MASTER LIST'!$A$2:$A$294=$A26), """"), 0)), ""Y"", """"))"),"")</f>
        <v/>
      </c>
      <c r="M26" s="92" t="str">
        <f>IFERROR(__xludf.DUMMYFUNCTION("IF(OR($A26="""", M$5=""""), """", IF(ISNUMBER(MATCH(M$5, IFERROR(FILTER('MASTER LIST'!$N$2:$AB$294, 'MASTER LIST'!$A$2:$A$294=$A26), """"), 0)), ""Y"", """"))"),"")</f>
        <v/>
      </c>
      <c r="N26" s="92" t="str">
        <f>IFERROR(__xludf.DUMMYFUNCTION("IF(OR($A26="""", N$5=""""), """", IF(ISNUMBER(MATCH(N$5, IFERROR(FILTER('MASTER LIST'!$N$2:$AB$294, 'MASTER LIST'!$A$2:$A$294=$A26), """"), 0)), ""Y"", """"))"),"")</f>
        <v/>
      </c>
      <c r="O26" s="92" t="str">
        <f>IFERROR(__xludf.DUMMYFUNCTION("IF(OR($A26="""", O$5=""""), """", IF(ISNUMBER(MATCH(O$5, IFERROR(FILTER('MASTER LIST'!$N$2:$AB$294, 'MASTER LIST'!$A$2:$A$294=$A26), """"), 0)), ""Y"", """"))"),"")</f>
        <v/>
      </c>
      <c r="P26" s="92" t="str">
        <f>IFERROR(__xludf.DUMMYFUNCTION("IF(OR($A26="""", P$5=""""), """", IF(ISNUMBER(MATCH(P$5, IFERROR(FILTER('MASTER LIST'!$N$2:$AB$294, 'MASTER LIST'!$A$2:$A$294=$A26), """"), 0)), ""Y"", """"))"),"")</f>
        <v/>
      </c>
      <c r="Q26" s="92" t="str">
        <f>IFERROR(__xludf.DUMMYFUNCTION("IF(OR($A26="""", Q$5=""""), """", IF(ISNUMBER(MATCH(Q$5, IFERROR(FILTER('MASTER LIST'!$N$2:$AB$294, 'MASTER LIST'!$A$2:$A$294=$A26), """"), 0)), ""Y"", """"))"),"")</f>
        <v/>
      </c>
      <c r="R26" s="92" t="str">
        <f>IFERROR(__xludf.DUMMYFUNCTION("IF(OR($A26="""", R$5=""""), """", IF(ISNUMBER(MATCH(R$5, IFERROR(FILTER('MASTER LIST'!$N$2:$AB$294, 'MASTER LIST'!$A$2:$A$294=$A26), """"), 0)), ""Y"", """"))"),"")</f>
        <v/>
      </c>
      <c r="S26" s="92" t="str">
        <f>IFERROR(__xludf.DUMMYFUNCTION("IF(OR($A26="""", S$5=""""), """", IF(ISNUMBER(MATCH(S$5, IFERROR(FILTER('MASTER LIST'!$N$2:$AB$294, 'MASTER LIST'!$A$2:$A$294=$A26), """"), 0)), ""Y"", """"))"),"")</f>
        <v/>
      </c>
      <c r="T26" s="92" t="str">
        <f>IFERROR(__xludf.DUMMYFUNCTION("IF(OR($A26="""", T$5=""""), """", IF(ISNUMBER(MATCH(T$5, IFERROR(FILTER('MASTER LIST'!$N$2:$AB$294, 'MASTER LIST'!$A$2:$A$294=$A26), """"), 0)), ""Y"", """"))"),"")</f>
        <v/>
      </c>
      <c r="U26" s="92" t="str">
        <f>IFERROR(__xludf.DUMMYFUNCTION("IF(OR($A26="""", U$5=""""), """", IF(ISNUMBER(MATCH(U$5, IFERROR(FILTER('MASTER LIST'!$N$2:$AB$294, 'MASTER LIST'!$A$2:$A$294=$A26), """"), 0)), ""Y"", """"))"),"")</f>
        <v/>
      </c>
      <c r="V26" s="92" t="str">
        <f>IFERROR(__xludf.DUMMYFUNCTION("IF(OR($A26="""", V$5=""""), """", IF(ISNUMBER(MATCH(V$5, IFERROR(FILTER('MASTER LIST'!$N$2:$AB$294, 'MASTER LIST'!$A$2:$A$294=$A26), """"), 0)), ""Y"", """"))"),"")</f>
        <v/>
      </c>
      <c r="W26" s="92" t="str">
        <f>IFERROR(__xludf.DUMMYFUNCTION("IF(OR($A26="""", W$5=""""), """", IF(ISNUMBER(MATCH(W$5, IFERROR(FILTER('MASTER LIST'!$N$2:$AB$294, 'MASTER LIST'!$A$2:$A$294=$A26), """"), 0)), ""Y"", """"))"),"")</f>
        <v/>
      </c>
      <c r="X26" s="92" t="str">
        <f>IFERROR(__xludf.DUMMYFUNCTION("IF(OR($A26="""", X$5=""""), """", IF(ISNUMBER(MATCH(X$5, IFERROR(FILTER('MASTER LIST'!$N$2:$AB$294, 'MASTER LIST'!$A$2:$A$294=$A26), """"), 0)), ""Y"", """"))"),"")</f>
        <v/>
      </c>
      <c r="Y26" s="92" t="str">
        <f>IFERROR(__xludf.DUMMYFUNCTION("IF(OR($A26="""", Y$5=""""), """", IF(ISNUMBER(MATCH(Y$5, IFERROR(FILTER('MASTER LIST'!$N$2:$AB$294, 'MASTER LIST'!$A$2:$A$294=$A26), """"), 0)), ""Y"", """"))"),"")</f>
        <v/>
      </c>
      <c r="Z26" s="92" t="str">
        <f>IFERROR(__xludf.DUMMYFUNCTION("IF(OR($A26="""", Z$5=""""), """", IF(ISNUMBER(MATCH(Z$5, IFERROR(FILTER('MASTER LIST'!$N$2:$AB$294, 'MASTER LIST'!$A$2:$A$294=$A26), """"), 0)), ""Y"", """"))"),"")</f>
        <v/>
      </c>
      <c r="AA26" s="92" t="str">
        <f>IFERROR(__xludf.DUMMYFUNCTION("IF(OR($A26="""", AA$5=""""), """", IF(ISNUMBER(MATCH(AA$5, IFERROR(FILTER('MASTER LIST'!$N$2:$AB$294, 'MASTER LIST'!$A$2:$A$294=$A26), """"), 0)), ""Y"", """"))"),"")</f>
        <v/>
      </c>
      <c r="AB26" s="92" t="str">
        <f>IFERROR(__xludf.DUMMYFUNCTION("IF(OR($A26="""", AB$5=""""), """", IF(ISNUMBER(MATCH(AB$5, IFERROR(FILTER('MASTER LIST'!$N$2:$AB$294, 'MASTER LIST'!$A$2:$A$294=$A26), """"), 0)), ""Y"", """"))"),"")</f>
        <v/>
      </c>
      <c r="AC26" s="92" t="str">
        <f>IFERROR(__xludf.DUMMYFUNCTION("IF(OR($A26="""", AC$5=""""), """", IF(ISNUMBER(MATCH(AC$5, IFERROR(FILTER('MASTER LIST'!$N$2:$AB$294, 'MASTER LIST'!$A$2:$A$294=$A26), """"), 0)), ""Y"", """"))"),"")</f>
        <v/>
      </c>
      <c r="AD26" s="92" t="str">
        <f>IFERROR(__xludf.DUMMYFUNCTION("IF(OR($A26="""", AD$5=""""), """", IF(ISNUMBER(MATCH(AD$5, IFERROR(FILTER('MASTER LIST'!$N$2:$AB$294, 'MASTER LIST'!$A$2:$A$294=$A26), """"), 0)), ""Y"", """"))"),"")</f>
        <v/>
      </c>
      <c r="AE26" s="92" t="str">
        <f>IFERROR(__xludf.DUMMYFUNCTION("IF(OR($A26="""", AE$5=""""), """", IF(ISNUMBER(MATCH(AE$5, IFERROR(FILTER('MASTER LIST'!$N$2:$AB$294, 'MASTER LIST'!$A$2:$A$294=$A26), """"), 0)), ""Y"", """"))"),"")</f>
        <v/>
      </c>
      <c r="AF26" s="92" t="str">
        <f>IFERROR(__xludf.DUMMYFUNCTION("IF(OR($A26="""", AF$5=""""), """", IF(ISNUMBER(MATCH(AF$5, IFERROR(FILTER('MASTER LIST'!$N$2:$AB$294, 'MASTER LIST'!$A$2:$A$294=$A26), """"), 0)), ""Y"", """"))"),"")</f>
        <v/>
      </c>
      <c r="AG26" s="92" t="str">
        <f>IFERROR(__xludf.DUMMYFUNCTION("IF(OR($A26="""", AG$5=""""), """", IF(ISNUMBER(MATCH(AG$5, IFERROR(FILTER('MASTER LIST'!$N$2:$AB$294, 'MASTER LIST'!$A$2:$A$294=$A26), """"), 0)), ""Y"", """"))"),"")</f>
        <v/>
      </c>
      <c r="AH26" s="92" t="str">
        <f>IFERROR(__xludf.DUMMYFUNCTION("IF(OR($A26="""", AH$5=""""), """", IF(ISNUMBER(MATCH(AH$5, IFERROR(FILTER('MASTER LIST'!$N$2:$AB$294, 'MASTER LIST'!$A$2:$A$294=$A26), """"), 0)), ""Y"", """"))"),"")</f>
        <v/>
      </c>
      <c r="AI26" s="92" t="str">
        <f>IFERROR(__xludf.DUMMYFUNCTION("IF(OR($A26="""", AI$5=""""), """", IF(ISNUMBER(MATCH(AI$5, IFERROR(FILTER('MASTER LIST'!$N$2:$AB$294, 'MASTER LIST'!$A$2:$A$294=$A26), """"), 0)), ""Y"", """"))"),"")</f>
        <v/>
      </c>
      <c r="AJ26" s="92" t="str">
        <f>IFERROR(__xludf.DUMMYFUNCTION("IF(OR($A26="""", AJ$5=""""), """", IF(ISNUMBER(MATCH(AJ$5, IFERROR(FILTER('MASTER LIST'!$N$2:$AB$294, 'MASTER LIST'!$A$2:$A$294=$A26), """"), 0)), ""Y"", """"))"),"")</f>
        <v/>
      </c>
      <c r="AK26" s="92" t="str">
        <f>IFERROR(__xludf.DUMMYFUNCTION("IF(OR($A26="""", AK$5=""""), """", IF(ISNUMBER(MATCH(AK$5, IFERROR(FILTER('MASTER LIST'!$N$2:$AB$294, 'MASTER LIST'!$A$2:$A$294=$A26), """"), 0)), ""Y"", """"))"),"")</f>
        <v/>
      </c>
      <c r="AL26" s="92" t="str">
        <f>IFERROR(__xludf.DUMMYFUNCTION("IF(OR($A26="""", AL$5=""""), """", IF(ISNUMBER(MATCH(AL$5, IFERROR(FILTER('MASTER LIST'!$N$2:$AB$294, 'MASTER LIST'!$A$2:$A$294=$A26), """"), 0)), ""Y"", """"))"),"")</f>
        <v/>
      </c>
      <c r="AM26" s="92" t="str">
        <f>IFERROR(__xludf.DUMMYFUNCTION("IF(OR($A26="""", AM$5=""""), """", IF(ISNUMBER(MATCH(AM$5, IFERROR(FILTER('MASTER LIST'!$N$2:$AB$294, 'MASTER LIST'!$A$2:$A$294=$A26), """"), 0)), ""Y"", """"))"),"")</f>
        <v/>
      </c>
      <c r="AN26" s="92" t="str">
        <f>IFERROR(__xludf.DUMMYFUNCTION("IF(OR($A26="""", AN$5=""""), """", IF(ISNUMBER(MATCH(AN$5, IFERROR(FILTER('MASTER LIST'!$N$2:$AB$294, 'MASTER LIST'!$A$2:$A$294=$A26), """"), 0)), ""Y"", """"))"),"")</f>
        <v/>
      </c>
      <c r="AO26" s="92" t="str">
        <f>IFERROR(__xludf.DUMMYFUNCTION("IF(OR($A26="""", AO$5=""""), """", IF(ISNUMBER(MATCH(AO$5, IFERROR(FILTER('MASTER LIST'!$N$2:$AB$294, 'MASTER LIST'!$A$2:$A$294=$A26), """"), 0)), ""Y"", """"))"),"")</f>
        <v/>
      </c>
      <c r="AP26" s="92" t="str">
        <f>IFERROR(__xludf.DUMMYFUNCTION("IF(OR($A26="""", AP$5=""""), """", IF(ISNUMBER(MATCH(AP$5, IFERROR(FILTER('MASTER LIST'!$N$2:$AB$294, 'MASTER LIST'!$A$2:$A$294=$A26), """"), 0)), ""Y"", """"))"),"")</f>
        <v/>
      </c>
      <c r="AQ26" s="92" t="str">
        <f>IFERROR(__xludf.DUMMYFUNCTION("IF(OR($A26="""", AQ$5=""""), """", IF(ISNUMBER(MATCH(AQ$5, IFERROR(FILTER('MASTER LIST'!$N$2:$AB$294, 'MASTER LIST'!$A$2:$A$294=$A26), """"), 0)), ""Y"", """"))"),"")</f>
        <v/>
      </c>
      <c r="AR26" s="92" t="str">
        <f>IFERROR(__xludf.DUMMYFUNCTION("IF(OR($A26="""", AR$5=""""), """", IF(ISNUMBER(MATCH(AR$5, IFERROR(FILTER('MASTER LIST'!$N$2:$AB$294, 'MASTER LIST'!$A$2:$A$294=$A26), """"), 0)), ""Y"", """"))"),"")</f>
        <v/>
      </c>
      <c r="AS26" s="92" t="str">
        <f>IFERROR(__xludf.DUMMYFUNCTION("IF(OR($A26="""", AS$5=""""), """", IF(ISNUMBER(MATCH(AS$5, IFERROR(FILTER('MASTER LIST'!$N$2:$AB$294, 'MASTER LIST'!$A$2:$A$294=$A26), """"), 0)), ""Y"", """"))"),"")</f>
        <v/>
      </c>
      <c r="AT26" s="92" t="str">
        <f>IFERROR(__xludf.DUMMYFUNCTION("IF(OR($A26="""", AT$5=""""), """", IF(ISNUMBER(MATCH(AT$5, IFERROR(FILTER('MASTER LIST'!$N$2:$AB$294, 'MASTER LIST'!$A$2:$A$294=$A26), """"), 0)), ""Y"", """"))"),"")</f>
        <v/>
      </c>
      <c r="AU26" s="92" t="str">
        <f>IFERROR(__xludf.DUMMYFUNCTION("IF(OR($A26="""", AU$5=""""), """", IF(ISNUMBER(MATCH(AU$5, IFERROR(FILTER('MASTER LIST'!$N$2:$AB$294, 'MASTER LIST'!$A$2:$A$294=$A26), """"), 0)), ""Y"", """"))"),"")</f>
        <v/>
      </c>
      <c r="AV26" s="92" t="str">
        <f>IFERROR(__xludf.DUMMYFUNCTION("IF(OR($A26="""", AV$5=""""), """", IF(ISNUMBER(MATCH(AV$5, IFERROR(FILTER('MASTER LIST'!$N$2:$AB$294, 'MASTER LIST'!$A$2:$A$294=$A26), """"), 0)), ""Y"", """"))"),"")</f>
        <v/>
      </c>
      <c r="AW26" s="92" t="str">
        <f>IFERROR(__xludf.DUMMYFUNCTION("IF(OR($A26="""", AW$5=""""), """", IF(ISNUMBER(MATCH(AW$5, IFERROR(FILTER('MASTER LIST'!$N$2:$AB$294, 'MASTER LIST'!$A$2:$A$294=$A26), """"), 0)), ""Y"", """"))"),"")</f>
        <v/>
      </c>
      <c r="AX26" s="92" t="str">
        <f>IFERROR(__xludf.DUMMYFUNCTION("IF(OR($A26="""", AX$5=""""), """", IF(ISNUMBER(MATCH(AX$5, IFERROR(FILTER('MASTER LIST'!$N$2:$AB$294, 'MASTER LIST'!$A$2:$A$294=$A26), """"), 0)), ""Y"", """"))"),"")</f>
        <v/>
      </c>
      <c r="AY26" s="92" t="str">
        <f>IFERROR(__xludf.DUMMYFUNCTION("IF(OR($A26="""", AY$5=""""), """", IF(ISNUMBER(MATCH(AY$5, IFERROR(FILTER('MASTER LIST'!$N$2:$AB$294, 'MASTER LIST'!$A$2:$A$294=$A26), """"), 0)), ""Y"", """"))"),"")</f>
        <v/>
      </c>
      <c r="AZ26" s="92" t="str">
        <f>IFERROR(__xludf.DUMMYFUNCTION("IF(OR($A26="""", AZ$5=""""), """", IF(ISNUMBER(MATCH(AZ$5, IFERROR(FILTER('MASTER LIST'!$N$2:$AB$294, 'MASTER LIST'!$A$2:$A$294=$A26), """"), 0)), ""Y"", """"))"),"")</f>
        <v/>
      </c>
      <c r="BA26" s="92" t="str">
        <f>IFERROR(__xludf.DUMMYFUNCTION("IF(OR($A26="""", BA$5=""""), """", IF(ISNUMBER(MATCH(BA$5, IFERROR(FILTER('MASTER LIST'!$N$2:$AB$294, 'MASTER LIST'!$A$2:$A$294=$A26), """"), 0)), ""Y"", """"))"),"")</f>
        <v/>
      </c>
      <c r="BB26" s="92" t="str">
        <f>IFERROR(__xludf.DUMMYFUNCTION("IF(OR($A26="""", BB$5=""""), """", IF(ISNUMBER(MATCH(BB$5, IFERROR(FILTER('MASTER LIST'!$N$2:$AB$294, 'MASTER LIST'!$A$2:$A$294=$A26), """"), 0)), ""Y"", """"))"),"")</f>
        <v/>
      </c>
      <c r="BC26" s="92" t="str">
        <f>IFERROR(__xludf.DUMMYFUNCTION("IF(OR($A26="""", BC$5=""""), """", IF(ISNUMBER(MATCH(BC$5, IFERROR(FILTER('MASTER LIST'!$N$2:$AB$294, 'MASTER LIST'!$A$2:$A$294=$A26), """"), 0)), ""Y"", """"))"),"")</f>
        <v/>
      </c>
      <c r="BD26" s="92" t="str">
        <f>IFERROR(__xludf.DUMMYFUNCTION("IF(OR($A26="""", BD$5=""""), """", IF(ISNUMBER(MATCH(BD$5, IFERROR(FILTER('MASTER LIST'!$N$2:$AB$294, 'MASTER LIST'!$A$2:$A$294=$A26), """"), 0)), ""Y"", """"))"),"")</f>
        <v/>
      </c>
      <c r="BE26" s="92" t="str">
        <f>IFERROR(__xludf.DUMMYFUNCTION("IF(OR($A26="""", BE$5=""""), """", IF(ISNUMBER(MATCH(BE$5, IFERROR(FILTER('MASTER LIST'!$N$2:$AB$294, 'MASTER LIST'!$A$2:$A$294=$A26), """"), 0)), ""Y"", """"))"),"")</f>
        <v/>
      </c>
      <c r="BF26" s="92" t="str">
        <f>IFERROR(__xludf.DUMMYFUNCTION("IF(OR($A26="""", BF$5=""""), """", IF(ISNUMBER(MATCH(BF$5, IFERROR(FILTER('MASTER LIST'!$N$2:$AB$294, 'MASTER LIST'!$A$2:$A$294=$A26), """"), 0)), ""Y"", """"))"),"")</f>
        <v/>
      </c>
      <c r="BG26" s="92" t="str">
        <f>IFERROR(__xludf.DUMMYFUNCTION("IF(OR($A26="""", BG$5=""""), """", IF(ISNUMBER(MATCH(BG$5, IFERROR(FILTER('MASTER LIST'!$N$2:$AB$294, 'MASTER LIST'!$A$2:$A$294=$A26), """"), 0)), ""Y"", """"))"),"")</f>
        <v/>
      </c>
      <c r="BH26" s="92" t="str">
        <f>IFERROR(__xludf.DUMMYFUNCTION("IF(OR($A26="""", BH$5=""""), """", IF(ISNUMBER(MATCH(BH$5, IFERROR(FILTER('MASTER LIST'!$N$2:$AB$294, 'MASTER LIST'!$A$2:$A$294=$A26), """"), 0)), ""Y"", """"))"),"")</f>
        <v/>
      </c>
      <c r="BI26" s="92" t="str">
        <f>IFERROR(__xludf.DUMMYFUNCTION("IF(OR($A26="""", BI$5=""""), """", IF(ISNUMBER(MATCH(BI$5, IFERROR(FILTER('MASTER LIST'!$N$2:$AB$294, 'MASTER LIST'!$A$2:$A$294=$A26), """"), 0)), ""Y"", """"))"),"")</f>
        <v/>
      </c>
      <c r="BJ26" s="92" t="str">
        <f>IFERROR(__xludf.DUMMYFUNCTION("IF(OR($A26="""", BJ$5=""""), """", IF(ISNUMBER(MATCH(BJ$5, IFERROR(FILTER('MASTER LIST'!$N$2:$AB$294, 'MASTER LIST'!$A$2:$A$294=$A26), """"), 0)), ""Y"", """"))"),"")</f>
        <v/>
      </c>
      <c r="BK26" s="92" t="str">
        <f>IFERROR(__xludf.DUMMYFUNCTION("IF(OR($A26="""", BK$5=""""), """", IF(ISNUMBER(MATCH(BK$5, IFERROR(FILTER('MASTER LIST'!$N$2:$AB$294, 'MASTER LIST'!$A$2:$A$294=$A26), """"), 0)), ""Y"", """"))"),"")</f>
        <v/>
      </c>
      <c r="BL26" s="92" t="str">
        <f>IFERROR(__xludf.DUMMYFUNCTION("IF(OR($A26="""", BL$5=""""), """", IF(ISNUMBER(MATCH(BL$5, IFERROR(FILTER('MASTER LIST'!$N$2:$AB$294, 'MASTER LIST'!$A$2:$A$294=$A26), """"), 0)), ""Y"", """"))"),"")</f>
        <v/>
      </c>
      <c r="BM26" s="92" t="str">
        <f>IFERROR(__xludf.DUMMYFUNCTION("IF(OR($A26="""", BM$5=""""), """", IF(ISNUMBER(MATCH(BM$5, IFERROR(FILTER('MASTER LIST'!$N$2:$AB$294, 'MASTER LIST'!$A$2:$A$294=$A26), """"), 0)), ""Y"", """"))"),"")</f>
        <v/>
      </c>
      <c r="BN26" s="92" t="str">
        <f>IFERROR(__xludf.DUMMYFUNCTION("IF(OR($A26="""", BN$5=""""), """", IF(ISNUMBER(MATCH(BN$5, IFERROR(FILTER('MASTER LIST'!$N$2:$AB$294, 'MASTER LIST'!$A$2:$A$294=$A26), """"), 0)), ""Y"", """"))"),"")</f>
        <v/>
      </c>
      <c r="BO26" s="92" t="str">
        <f>IFERROR(__xludf.DUMMYFUNCTION("IF(OR($A26="""", BO$5=""""), """", IF(ISNUMBER(MATCH(BO$5, IFERROR(FILTER('MASTER LIST'!$N$2:$AB$294, 'MASTER LIST'!$A$2:$A$294=$A26), """"), 0)), ""Y"", """"))"),"")</f>
        <v/>
      </c>
      <c r="BP26" s="92" t="str">
        <f>IFERROR(__xludf.DUMMYFUNCTION("IF(OR($A26="""", BP$5=""""), """", IF(ISNUMBER(MATCH(BP$5, IFERROR(FILTER('MASTER LIST'!$N$2:$AB$294, 'MASTER LIST'!$A$2:$A$294=$A26), """"), 0)), ""Y"", """"))"),"")</f>
        <v/>
      </c>
      <c r="BQ26" s="92" t="str">
        <f>IFERROR(__xludf.DUMMYFUNCTION("IF(OR($A26="""", BQ$5=""""), """", IF(ISNUMBER(MATCH(BQ$5, IFERROR(FILTER('MASTER LIST'!$N$2:$AB$294, 'MASTER LIST'!$A$2:$A$294=$A26), """"), 0)), ""Y"", """"))"),"")</f>
        <v/>
      </c>
      <c r="BR26" s="92" t="str">
        <f>IFERROR(__xludf.DUMMYFUNCTION("IF(OR($A26="""", BR$5=""""), """", IF(ISNUMBER(MATCH(BR$5, IFERROR(FILTER('MASTER LIST'!$N$2:$AB$294, 'MASTER LIST'!$A$2:$A$294=$A26), """"), 0)), ""Y"", """"))"),"")</f>
        <v/>
      </c>
      <c r="BS26" s="92" t="str">
        <f>IFERROR(__xludf.DUMMYFUNCTION("IF(OR($A26="""", BS$5=""""), """", IF(ISNUMBER(MATCH(BS$5, IFERROR(FILTER('MASTER LIST'!$N$2:$AB$294, 'MASTER LIST'!$A$2:$A$294=$A26), """"), 0)), ""Y"", """"))"),"")</f>
        <v/>
      </c>
      <c r="BT26" s="92" t="str">
        <f>IFERROR(__xludf.DUMMYFUNCTION("IF(OR($A26="""", BT$5=""""), """", IF(ISNUMBER(MATCH(BT$5, IFERROR(FILTER('MASTER LIST'!$N$2:$AB$294, 'MASTER LIST'!$A$2:$A$294=$A26), """"), 0)), ""Y"", """"))"),"")</f>
        <v/>
      </c>
      <c r="BU26" s="92" t="str">
        <f>IFERROR(__xludf.DUMMYFUNCTION("IF(OR($A26="""", BU$5=""""), """", IF(ISNUMBER(MATCH(BU$5, IFERROR(FILTER('MASTER LIST'!$N$2:$AB$294, 'MASTER LIST'!$A$2:$A$294=$A26), """"), 0)), ""Y"", """"))"),"")</f>
        <v/>
      </c>
      <c r="BV26" s="92" t="str">
        <f>IFERROR(__xludf.DUMMYFUNCTION("IF(OR($A26="""", BV$5=""""), """", IF(ISNUMBER(MATCH(BV$5, IFERROR(FILTER('MASTER LIST'!$N$2:$AB$294, 'MASTER LIST'!$A$2:$A$294=$A26), """"), 0)), ""Y"", """"))"),"")</f>
        <v/>
      </c>
      <c r="BW26" s="92" t="str">
        <f>IFERROR(__xludf.DUMMYFUNCTION("IF(OR($A26="""", BW$5=""""), """", IF(ISNUMBER(MATCH(BW$5, IFERROR(FILTER('MASTER LIST'!$N$2:$AB$294, 'MASTER LIST'!$A$2:$A$294=$A26), """"), 0)), ""Y"", """"))"),"")</f>
        <v/>
      </c>
      <c r="BX26" s="92" t="str">
        <f>IFERROR(__xludf.DUMMYFUNCTION("IF(OR($A26="""", BX$5=""""), """", IF(ISNUMBER(MATCH(BX$5, IFERROR(FILTER('MASTER LIST'!$N$2:$AB$294, 'MASTER LIST'!$A$2:$A$294=$A26), """"), 0)), ""Y"", """"))"),"")</f>
        <v/>
      </c>
      <c r="BY26" s="92" t="str">
        <f>IFERROR(__xludf.DUMMYFUNCTION("IF(OR($A26="""", BY$5=""""), """", IF(ISNUMBER(MATCH(BY$5, IFERROR(FILTER('MASTER LIST'!$N$2:$AB$294, 'MASTER LIST'!$A$2:$A$294=$A26), """"), 0)), ""Y"", """"))"),"")</f>
        <v/>
      </c>
      <c r="BZ26" s="92" t="str">
        <f>IFERROR(__xludf.DUMMYFUNCTION("IF(OR($A26="""", BZ$5=""""), """", IF(ISNUMBER(MATCH(BZ$5, IFERROR(FILTER('MASTER LIST'!$N$2:$AB$294, 'MASTER LIST'!$A$2:$A$294=$A26), """"), 0)), ""Y"", """"))"),"")</f>
        <v/>
      </c>
      <c r="CA26" s="92" t="str">
        <f>IFERROR(__xludf.DUMMYFUNCTION("IF(OR($A26="""", CA$5=""""), """", IF(ISNUMBER(MATCH(CA$5, IFERROR(FILTER('MASTER LIST'!$N$2:$AB$294, 'MASTER LIST'!$A$2:$A$294=$A26), """"), 0)), ""Y"", """"))"),"")</f>
        <v/>
      </c>
      <c r="CB26" s="92" t="str">
        <f>IFERROR(__xludf.DUMMYFUNCTION("IF(OR($A26="""", CB$5=""""), """", IF(ISNUMBER(MATCH(CB$5, IFERROR(FILTER('MASTER LIST'!$N$2:$AB$294, 'MASTER LIST'!$A$2:$A$294=$A26), """"), 0)), ""Y"", """"))"),"")</f>
        <v/>
      </c>
      <c r="CC26" s="92"/>
      <c r="CD26" s="92"/>
      <c r="CE26" s="92"/>
      <c r="CF26" s="92"/>
      <c r="CG26" s="92"/>
      <c r="CH26" s="92"/>
      <c r="CI26" s="92"/>
      <c r="CJ26" s="92"/>
      <c r="CK26" s="92"/>
    </row>
    <row r="27">
      <c r="A27" s="75"/>
      <c r="B27" s="75"/>
      <c r="C27" s="75"/>
      <c r="D27" s="75"/>
      <c r="E27" s="75"/>
      <c r="F27" s="75"/>
      <c r="G27" s="92" t="str">
        <f>IFERROR(__xludf.DUMMYFUNCTION("IF(OR($A27="""", G$5=""""), """", IF(ISNUMBER(MATCH(G$5, IFERROR(FILTER('MASTER LIST'!$N$2:$AB$294, 'MASTER LIST'!$A$2:$A$294=$A27), """"), 0)), ""Y"", """"))"),"")</f>
        <v/>
      </c>
      <c r="H27" s="92" t="str">
        <f>IFERROR(__xludf.DUMMYFUNCTION("IF(OR($A27="""", H$5=""""), """", IF(ISNUMBER(MATCH(H$5, IFERROR(FILTER('MASTER LIST'!$N$2:$AB$294, 'MASTER LIST'!$A$2:$A$294=$A27), """"), 0)), ""Y"", """"))"),"")</f>
        <v/>
      </c>
      <c r="I27" s="92" t="str">
        <f>IFERROR(__xludf.DUMMYFUNCTION("IF(OR($A27="""", I$5=""""), """", IF(ISNUMBER(MATCH(I$5, IFERROR(FILTER('MASTER LIST'!$N$2:$AB$294, 'MASTER LIST'!$A$2:$A$294=$A27), """"), 0)), ""Y"", """"))"),"")</f>
        <v/>
      </c>
      <c r="J27" s="92" t="str">
        <f>IFERROR(__xludf.DUMMYFUNCTION("IF(OR($A27="""", J$5=""""), """", IF(ISNUMBER(MATCH(J$5, IFERROR(FILTER('MASTER LIST'!$N$2:$W$294, 'MASTER LIST'!$A$2:$A$294=$A27), """"), 0)), ""Y"", """"))"),"")</f>
        <v/>
      </c>
      <c r="K27" s="92" t="str">
        <f>IFERROR(__xludf.DUMMYFUNCTION("IF(OR($A27="""", K$5=""""), """", IF(ISNUMBER(MATCH(K$5, IFERROR(FILTER('MASTER LIST'!$N$2:$AB$294, 'MASTER LIST'!$A$2:$A$294=$A27), """"), 0)), ""Y"", """"))"),"")</f>
        <v/>
      </c>
      <c r="L27" s="92" t="str">
        <f>IFERROR(__xludf.DUMMYFUNCTION("IF(OR($A27="""", L$5=""""), """", IF(ISNUMBER(MATCH(L$5, IFERROR(FILTER('MASTER LIST'!$N$2:$AB$294, 'MASTER LIST'!$A$2:$A$294=$A27), """"), 0)), ""Y"", """"))"),"")</f>
        <v/>
      </c>
      <c r="M27" s="92" t="str">
        <f>IFERROR(__xludf.DUMMYFUNCTION("IF(OR($A27="""", M$5=""""), """", IF(ISNUMBER(MATCH(M$5, IFERROR(FILTER('MASTER LIST'!$N$2:$AB$294, 'MASTER LIST'!$A$2:$A$294=$A27), """"), 0)), ""Y"", """"))"),"")</f>
        <v/>
      </c>
      <c r="N27" s="92" t="str">
        <f>IFERROR(__xludf.DUMMYFUNCTION("IF(OR($A27="""", N$5=""""), """", IF(ISNUMBER(MATCH(N$5, IFERROR(FILTER('MASTER LIST'!$N$2:$AB$294, 'MASTER LIST'!$A$2:$A$294=$A27), """"), 0)), ""Y"", """"))"),"")</f>
        <v/>
      </c>
      <c r="O27" s="92" t="str">
        <f>IFERROR(__xludf.DUMMYFUNCTION("IF(OR($A27="""", O$5=""""), """", IF(ISNUMBER(MATCH(O$5, IFERROR(FILTER('MASTER LIST'!$N$2:$AB$294, 'MASTER LIST'!$A$2:$A$294=$A27), """"), 0)), ""Y"", """"))"),"")</f>
        <v/>
      </c>
      <c r="P27" s="92" t="str">
        <f>IFERROR(__xludf.DUMMYFUNCTION("IF(OR($A27="""", P$5=""""), """", IF(ISNUMBER(MATCH(P$5, IFERROR(FILTER('MASTER LIST'!$N$2:$AB$294, 'MASTER LIST'!$A$2:$A$294=$A27), """"), 0)), ""Y"", """"))"),"")</f>
        <v/>
      </c>
      <c r="Q27" s="92" t="str">
        <f>IFERROR(__xludf.DUMMYFUNCTION("IF(OR($A27="""", Q$5=""""), """", IF(ISNUMBER(MATCH(Q$5, IFERROR(FILTER('MASTER LIST'!$N$2:$AB$294, 'MASTER LIST'!$A$2:$A$294=$A27), """"), 0)), ""Y"", """"))"),"")</f>
        <v/>
      </c>
      <c r="R27" s="92" t="str">
        <f>IFERROR(__xludf.DUMMYFUNCTION("IF(OR($A27="""", R$5=""""), """", IF(ISNUMBER(MATCH(R$5, IFERROR(FILTER('MASTER LIST'!$N$2:$AB$294, 'MASTER LIST'!$A$2:$A$294=$A27), """"), 0)), ""Y"", """"))"),"")</f>
        <v/>
      </c>
      <c r="S27" s="92" t="str">
        <f>IFERROR(__xludf.DUMMYFUNCTION("IF(OR($A27="""", S$5=""""), """", IF(ISNUMBER(MATCH(S$5, IFERROR(FILTER('MASTER LIST'!$N$2:$AB$294, 'MASTER LIST'!$A$2:$A$294=$A27), """"), 0)), ""Y"", """"))"),"")</f>
        <v/>
      </c>
      <c r="T27" s="92" t="str">
        <f>IFERROR(__xludf.DUMMYFUNCTION("IF(OR($A27="""", T$5=""""), """", IF(ISNUMBER(MATCH(T$5, IFERROR(FILTER('MASTER LIST'!$N$2:$AB$294, 'MASTER LIST'!$A$2:$A$294=$A27), """"), 0)), ""Y"", """"))"),"")</f>
        <v/>
      </c>
      <c r="U27" s="92" t="str">
        <f>IFERROR(__xludf.DUMMYFUNCTION("IF(OR($A27="""", U$5=""""), """", IF(ISNUMBER(MATCH(U$5, IFERROR(FILTER('MASTER LIST'!$N$2:$AB$294, 'MASTER LIST'!$A$2:$A$294=$A27), """"), 0)), ""Y"", """"))"),"")</f>
        <v/>
      </c>
      <c r="V27" s="92" t="str">
        <f>IFERROR(__xludf.DUMMYFUNCTION("IF(OR($A27="""", V$5=""""), """", IF(ISNUMBER(MATCH(V$5, IFERROR(FILTER('MASTER LIST'!$N$2:$AB$294, 'MASTER LIST'!$A$2:$A$294=$A27), """"), 0)), ""Y"", """"))"),"")</f>
        <v/>
      </c>
      <c r="W27" s="92" t="str">
        <f>IFERROR(__xludf.DUMMYFUNCTION("IF(OR($A27="""", W$5=""""), """", IF(ISNUMBER(MATCH(W$5, IFERROR(FILTER('MASTER LIST'!$N$2:$AB$294, 'MASTER LIST'!$A$2:$A$294=$A27), """"), 0)), ""Y"", """"))"),"")</f>
        <v/>
      </c>
      <c r="X27" s="92" t="str">
        <f>IFERROR(__xludf.DUMMYFUNCTION("IF(OR($A27="""", X$5=""""), """", IF(ISNUMBER(MATCH(X$5, IFERROR(FILTER('MASTER LIST'!$N$2:$AB$294, 'MASTER LIST'!$A$2:$A$294=$A27), """"), 0)), ""Y"", """"))"),"")</f>
        <v/>
      </c>
      <c r="Y27" s="92" t="str">
        <f>IFERROR(__xludf.DUMMYFUNCTION("IF(OR($A27="""", Y$5=""""), """", IF(ISNUMBER(MATCH(Y$5, IFERROR(FILTER('MASTER LIST'!$N$2:$AB$294, 'MASTER LIST'!$A$2:$A$294=$A27), """"), 0)), ""Y"", """"))"),"")</f>
        <v/>
      </c>
      <c r="Z27" s="92" t="str">
        <f>IFERROR(__xludf.DUMMYFUNCTION("IF(OR($A27="""", Z$5=""""), """", IF(ISNUMBER(MATCH(Z$5, IFERROR(FILTER('MASTER LIST'!$N$2:$AB$294, 'MASTER LIST'!$A$2:$A$294=$A27), """"), 0)), ""Y"", """"))"),"")</f>
        <v/>
      </c>
      <c r="AA27" s="92" t="str">
        <f>IFERROR(__xludf.DUMMYFUNCTION("IF(OR($A27="""", AA$5=""""), """", IF(ISNUMBER(MATCH(AA$5, IFERROR(FILTER('MASTER LIST'!$N$2:$AB$294, 'MASTER LIST'!$A$2:$A$294=$A27), """"), 0)), ""Y"", """"))"),"")</f>
        <v/>
      </c>
      <c r="AB27" s="92" t="str">
        <f>IFERROR(__xludf.DUMMYFUNCTION("IF(OR($A27="""", AB$5=""""), """", IF(ISNUMBER(MATCH(AB$5, IFERROR(FILTER('MASTER LIST'!$N$2:$AB$294, 'MASTER LIST'!$A$2:$A$294=$A27), """"), 0)), ""Y"", """"))"),"")</f>
        <v/>
      </c>
      <c r="AC27" s="92" t="str">
        <f>IFERROR(__xludf.DUMMYFUNCTION("IF(OR($A27="""", AC$5=""""), """", IF(ISNUMBER(MATCH(AC$5, IFERROR(FILTER('MASTER LIST'!$N$2:$AB$294, 'MASTER LIST'!$A$2:$A$294=$A27), """"), 0)), ""Y"", """"))"),"")</f>
        <v/>
      </c>
      <c r="AD27" s="92" t="str">
        <f>IFERROR(__xludf.DUMMYFUNCTION("IF(OR($A27="""", AD$5=""""), """", IF(ISNUMBER(MATCH(AD$5, IFERROR(FILTER('MASTER LIST'!$N$2:$AB$294, 'MASTER LIST'!$A$2:$A$294=$A27), """"), 0)), ""Y"", """"))"),"")</f>
        <v/>
      </c>
      <c r="AE27" s="92" t="str">
        <f>IFERROR(__xludf.DUMMYFUNCTION("IF(OR($A27="""", AE$5=""""), """", IF(ISNUMBER(MATCH(AE$5, IFERROR(FILTER('MASTER LIST'!$N$2:$AB$294, 'MASTER LIST'!$A$2:$A$294=$A27), """"), 0)), ""Y"", """"))"),"")</f>
        <v/>
      </c>
      <c r="AF27" s="92" t="str">
        <f>IFERROR(__xludf.DUMMYFUNCTION("IF(OR($A27="""", AF$5=""""), """", IF(ISNUMBER(MATCH(AF$5, IFERROR(FILTER('MASTER LIST'!$N$2:$AB$294, 'MASTER LIST'!$A$2:$A$294=$A27), """"), 0)), ""Y"", """"))"),"")</f>
        <v/>
      </c>
      <c r="AG27" s="92" t="str">
        <f>IFERROR(__xludf.DUMMYFUNCTION("IF(OR($A27="""", AG$5=""""), """", IF(ISNUMBER(MATCH(AG$5, IFERROR(FILTER('MASTER LIST'!$N$2:$AB$294, 'MASTER LIST'!$A$2:$A$294=$A27), """"), 0)), ""Y"", """"))"),"")</f>
        <v/>
      </c>
      <c r="AH27" s="92" t="str">
        <f>IFERROR(__xludf.DUMMYFUNCTION("IF(OR($A27="""", AH$5=""""), """", IF(ISNUMBER(MATCH(AH$5, IFERROR(FILTER('MASTER LIST'!$N$2:$AB$294, 'MASTER LIST'!$A$2:$A$294=$A27), """"), 0)), ""Y"", """"))"),"")</f>
        <v/>
      </c>
      <c r="AI27" s="92" t="str">
        <f>IFERROR(__xludf.DUMMYFUNCTION("IF(OR($A27="""", AI$5=""""), """", IF(ISNUMBER(MATCH(AI$5, IFERROR(FILTER('MASTER LIST'!$N$2:$AB$294, 'MASTER LIST'!$A$2:$A$294=$A27), """"), 0)), ""Y"", """"))"),"")</f>
        <v/>
      </c>
      <c r="AJ27" s="92" t="str">
        <f>IFERROR(__xludf.DUMMYFUNCTION("IF(OR($A27="""", AJ$5=""""), """", IF(ISNUMBER(MATCH(AJ$5, IFERROR(FILTER('MASTER LIST'!$N$2:$AB$294, 'MASTER LIST'!$A$2:$A$294=$A27), """"), 0)), ""Y"", """"))"),"")</f>
        <v/>
      </c>
      <c r="AK27" s="92" t="str">
        <f>IFERROR(__xludf.DUMMYFUNCTION("IF(OR($A27="""", AK$5=""""), """", IF(ISNUMBER(MATCH(AK$5, IFERROR(FILTER('MASTER LIST'!$N$2:$AB$294, 'MASTER LIST'!$A$2:$A$294=$A27), """"), 0)), ""Y"", """"))"),"")</f>
        <v/>
      </c>
      <c r="AL27" s="92" t="str">
        <f>IFERROR(__xludf.DUMMYFUNCTION("IF(OR($A27="""", AL$5=""""), """", IF(ISNUMBER(MATCH(AL$5, IFERROR(FILTER('MASTER LIST'!$N$2:$AB$294, 'MASTER LIST'!$A$2:$A$294=$A27), """"), 0)), ""Y"", """"))"),"")</f>
        <v/>
      </c>
      <c r="AM27" s="92" t="str">
        <f>IFERROR(__xludf.DUMMYFUNCTION("IF(OR($A27="""", AM$5=""""), """", IF(ISNUMBER(MATCH(AM$5, IFERROR(FILTER('MASTER LIST'!$N$2:$AB$294, 'MASTER LIST'!$A$2:$A$294=$A27), """"), 0)), ""Y"", """"))"),"")</f>
        <v/>
      </c>
      <c r="AN27" s="92" t="str">
        <f>IFERROR(__xludf.DUMMYFUNCTION("IF(OR($A27="""", AN$5=""""), """", IF(ISNUMBER(MATCH(AN$5, IFERROR(FILTER('MASTER LIST'!$N$2:$AB$294, 'MASTER LIST'!$A$2:$A$294=$A27), """"), 0)), ""Y"", """"))"),"")</f>
        <v/>
      </c>
      <c r="AO27" s="92" t="str">
        <f>IFERROR(__xludf.DUMMYFUNCTION("IF(OR($A27="""", AO$5=""""), """", IF(ISNUMBER(MATCH(AO$5, IFERROR(FILTER('MASTER LIST'!$N$2:$AB$294, 'MASTER LIST'!$A$2:$A$294=$A27), """"), 0)), ""Y"", """"))"),"")</f>
        <v/>
      </c>
      <c r="AP27" s="92" t="str">
        <f>IFERROR(__xludf.DUMMYFUNCTION("IF(OR($A27="""", AP$5=""""), """", IF(ISNUMBER(MATCH(AP$5, IFERROR(FILTER('MASTER LIST'!$N$2:$AB$294, 'MASTER LIST'!$A$2:$A$294=$A27), """"), 0)), ""Y"", """"))"),"")</f>
        <v/>
      </c>
      <c r="AQ27" s="92" t="str">
        <f>IFERROR(__xludf.DUMMYFUNCTION("IF(OR($A27="""", AQ$5=""""), """", IF(ISNUMBER(MATCH(AQ$5, IFERROR(FILTER('MASTER LIST'!$N$2:$AB$294, 'MASTER LIST'!$A$2:$A$294=$A27), """"), 0)), ""Y"", """"))"),"")</f>
        <v/>
      </c>
      <c r="AR27" s="92" t="str">
        <f>IFERROR(__xludf.DUMMYFUNCTION("IF(OR($A27="""", AR$5=""""), """", IF(ISNUMBER(MATCH(AR$5, IFERROR(FILTER('MASTER LIST'!$N$2:$AB$294, 'MASTER LIST'!$A$2:$A$294=$A27), """"), 0)), ""Y"", """"))"),"")</f>
        <v/>
      </c>
      <c r="AS27" s="92" t="str">
        <f>IFERROR(__xludf.DUMMYFUNCTION("IF(OR($A27="""", AS$5=""""), """", IF(ISNUMBER(MATCH(AS$5, IFERROR(FILTER('MASTER LIST'!$N$2:$AB$294, 'MASTER LIST'!$A$2:$A$294=$A27), """"), 0)), ""Y"", """"))"),"")</f>
        <v/>
      </c>
      <c r="AT27" s="92" t="str">
        <f>IFERROR(__xludf.DUMMYFUNCTION("IF(OR($A27="""", AT$5=""""), """", IF(ISNUMBER(MATCH(AT$5, IFERROR(FILTER('MASTER LIST'!$N$2:$AB$294, 'MASTER LIST'!$A$2:$A$294=$A27), """"), 0)), ""Y"", """"))"),"")</f>
        <v/>
      </c>
      <c r="AU27" s="92" t="str">
        <f>IFERROR(__xludf.DUMMYFUNCTION("IF(OR($A27="""", AU$5=""""), """", IF(ISNUMBER(MATCH(AU$5, IFERROR(FILTER('MASTER LIST'!$N$2:$AB$294, 'MASTER LIST'!$A$2:$A$294=$A27), """"), 0)), ""Y"", """"))"),"")</f>
        <v/>
      </c>
      <c r="AV27" s="92" t="str">
        <f>IFERROR(__xludf.DUMMYFUNCTION("IF(OR($A27="""", AV$5=""""), """", IF(ISNUMBER(MATCH(AV$5, IFERROR(FILTER('MASTER LIST'!$N$2:$AB$294, 'MASTER LIST'!$A$2:$A$294=$A27), """"), 0)), ""Y"", """"))"),"")</f>
        <v/>
      </c>
      <c r="AW27" s="92" t="str">
        <f>IFERROR(__xludf.DUMMYFUNCTION("IF(OR($A27="""", AW$5=""""), """", IF(ISNUMBER(MATCH(AW$5, IFERROR(FILTER('MASTER LIST'!$N$2:$AB$294, 'MASTER LIST'!$A$2:$A$294=$A27), """"), 0)), ""Y"", """"))"),"")</f>
        <v/>
      </c>
      <c r="AX27" s="92" t="str">
        <f>IFERROR(__xludf.DUMMYFUNCTION("IF(OR($A27="""", AX$5=""""), """", IF(ISNUMBER(MATCH(AX$5, IFERROR(FILTER('MASTER LIST'!$N$2:$AB$294, 'MASTER LIST'!$A$2:$A$294=$A27), """"), 0)), ""Y"", """"))"),"")</f>
        <v/>
      </c>
      <c r="AY27" s="92" t="str">
        <f>IFERROR(__xludf.DUMMYFUNCTION("IF(OR($A27="""", AY$5=""""), """", IF(ISNUMBER(MATCH(AY$5, IFERROR(FILTER('MASTER LIST'!$N$2:$AB$294, 'MASTER LIST'!$A$2:$A$294=$A27), """"), 0)), ""Y"", """"))"),"")</f>
        <v/>
      </c>
      <c r="AZ27" s="92" t="str">
        <f>IFERROR(__xludf.DUMMYFUNCTION("IF(OR($A27="""", AZ$5=""""), """", IF(ISNUMBER(MATCH(AZ$5, IFERROR(FILTER('MASTER LIST'!$N$2:$AB$294, 'MASTER LIST'!$A$2:$A$294=$A27), """"), 0)), ""Y"", """"))"),"")</f>
        <v/>
      </c>
      <c r="BA27" s="92" t="str">
        <f>IFERROR(__xludf.DUMMYFUNCTION("IF(OR($A27="""", BA$5=""""), """", IF(ISNUMBER(MATCH(BA$5, IFERROR(FILTER('MASTER LIST'!$N$2:$AB$294, 'MASTER LIST'!$A$2:$A$294=$A27), """"), 0)), ""Y"", """"))"),"")</f>
        <v/>
      </c>
      <c r="BB27" s="92" t="str">
        <f>IFERROR(__xludf.DUMMYFUNCTION("IF(OR($A27="""", BB$5=""""), """", IF(ISNUMBER(MATCH(BB$5, IFERROR(FILTER('MASTER LIST'!$N$2:$AB$294, 'MASTER LIST'!$A$2:$A$294=$A27), """"), 0)), ""Y"", """"))"),"")</f>
        <v/>
      </c>
      <c r="BC27" s="92" t="str">
        <f>IFERROR(__xludf.DUMMYFUNCTION("IF(OR($A27="""", BC$5=""""), """", IF(ISNUMBER(MATCH(BC$5, IFERROR(FILTER('MASTER LIST'!$N$2:$AB$294, 'MASTER LIST'!$A$2:$A$294=$A27), """"), 0)), ""Y"", """"))"),"")</f>
        <v/>
      </c>
      <c r="BD27" s="92" t="str">
        <f>IFERROR(__xludf.DUMMYFUNCTION("IF(OR($A27="""", BD$5=""""), """", IF(ISNUMBER(MATCH(BD$5, IFERROR(FILTER('MASTER LIST'!$N$2:$AB$294, 'MASTER LIST'!$A$2:$A$294=$A27), """"), 0)), ""Y"", """"))"),"")</f>
        <v/>
      </c>
      <c r="BE27" s="92" t="str">
        <f>IFERROR(__xludf.DUMMYFUNCTION("IF(OR($A27="""", BE$5=""""), """", IF(ISNUMBER(MATCH(BE$5, IFERROR(FILTER('MASTER LIST'!$N$2:$AB$294, 'MASTER LIST'!$A$2:$A$294=$A27), """"), 0)), ""Y"", """"))"),"")</f>
        <v/>
      </c>
      <c r="BF27" s="92" t="str">
        <f>IFERROR(__xludf.DUMMYFUNCTION("IF(OR($A27="""", BF$5=""""), """", IF(ISNUMBER(MATCH(BF$5, IFERROR(FILTER('MASTER LIST'!$N$2:$AB$294, 'MASTER LIST'!$A$2:$A$294=$A27), """"), 0)), ""Y"", """"))"),"")</f>
        <v/>
      </c>
      <c r="BG27" s="92" t="str">
        <f>IFERROR(__xludf.DUMMYFUNCTION("IF(OR($A27="""", BG$5=""""), """", IF(ISNUMBER(MATCH(BG$5, IFERROR(FILTER('MASTER LIST'!$N$2:$AB$294, 'MASTER LIST'!$A$2:$A$294=$A27), """"), 0)), ""Y"", """"))"),"")</f>
        <v/>
      </c>
      <c r="BH27" s="92" t="str">
        <f>IFERROR(__xludf.DUMMYFUNCTION("IF(OR($A27="""", BH$5=""""), """", IF(ISNUMBER(MATCH(BH$5, IFERROR(FILTER('MASTER LIST'!$N$2:$AB$294, 'MASTER LIST'!$A$2:$A$294=$A27), """"), 0)), ""Y"", """"))"),"")</f>
        <v/>
      </c>
      <c r="BI27" s="92" t="str">
        <f>IFERROR(__xludf.DUMMYFUNCTION("IF(OR($A27="""", BI$5=""""), """", IF(ISNUMBER(MATCH(BI$5, IFERROR(FILTER('MASTER LIST'!$N$2:$AB$294, 'MASTER LIST'!$A$2:$A$294=$A27), """"), 0)), ""Y"", """"))"),"")</f>
        <v/>
      </c>
      <c r="BJ27" s="92" t="str">
        <f>IFERROR(__xludf.DUMMYFUNCTION("IF(OR($A27="""", BJ$5=""""), """", IF(ISNUMBER(MATCH(BJ$5, IFERROR(FILTER('MASTER LIST'!$N$2:$AB$294, 'MASTER LIST'!$A$2:$A$294=$A27), """"), 0)), ""Y"", """"))"),"")</f>
        <v/>
      </c>
      <c r="BK27" s="92" t="str">
        <f>IFERROR(__xludf.DUMMYFUNCTION("IF(OR($A27="""", BK$5=""""), """", IF(ISNUMBER(MATCH(BK$5, IFERROR(FILTER('MASTER LIST'!$N$2:$AB$294, 'MASTER LIST'!$A$2:$A$294=$A27), """"), 0)), ""Y"", """"))"),"")</f>
        <v/>
      </c>
      <c r="BL27" s="92" t="str">
        <f>IFERROR(__xludf.DUMMYFUNCTION("IF(OR($A27="""", BL$5=""""), """", IF(ISNUMBER(MATCH(BL$5, IFERROR(FILTER('MASTER LIST'!$N$2:$AB$294, 'MASTER LIST'!$A$2:$A$294=$A27), """"), 0)), ""Y"", """"))"),"")</f>
        <v/>
      </c>
      <c r="BM27" s="92" t="str">
        <f>IFERROR(__xludf.DUMMYFUNCTION("IF(OR($A27="""", BM$5=""""), """", IF(ISNUMBER(MATCH(BM$5, IFERROR(FILTER('MASTER LIST'!$N$2:$AB$294, 'MASTER LIST'!$A$2:$A$294=$A27), """"), 0)), ""Y"", """"))"),"")</f>
        <v/>
      </c>
      <c r="BN27" s="92" t="str">
        <f>IFERROR(__xludf.DUMMYFUNCTION("IF(OR($A27="""", BN$5=""""), """", IF(ISNUMBER(MATCH(BN$5, IFERROR(FILTER('MASTER LIST'!$N$2:$AB$294, 'MASTER LIST'!$A$2:$A$294=$A27), """"), 0)), ""Y"", """"))"),"")</f>
        <v/>
      </c>
      <c r="BO27" s="92" t="str">
        <f>IFERROR(__xludf.DUMMYFUNCTION("IF(OR($A27="""", BO$5=""""), """", IF(ISNUMBER(MATCH(BO$5, IFERROR(FILTER('MASTER LIST'!$N$2:$AB$294, 'MASTER LIST'!$A$2:$A$294=$A27), """"), 0)), ""Y"", """"))"),"")</f>
        <v/>
      </c>
      <c r="BP27" s="92" t="str">
        <f>IFERROR(__xludf.DUMMYFUNCTION("IF(OR($A27="""", BP$5=""""), """", IF(ISNUMBER(MATCH(BP$5, IFERROR(FILTER('MASTER LIST'!$N$2:$AB$294, 'MASTER LIST'!$A$2:$A$294=$A27), """"), 0)), ""Y"", """"))"),"")</f>
        <v/>
      </c>
      <c r="BQ27" s="92" t="str">
        <f>IFERROR(__xludf.DUMMYFUNCTION("IF(OR($A27="""", BQ$5=""""), """", IF(ISNUMBER(MATCH(BQ$5, IFERROR(FILTER('MASTER LIST'!$N$2:$AB$294, 'MASTER LIST'!$A$2:$A$294=$A27), """"), 0)), ""Y"", """"))"),"")</f>
        <v/>
      </c>
      <c r="BR27" s="92" t="str">
        <f>IFERROR(__xludf.DUMMYFUNCTION("IF(OR($A27="""", BR$5=""""), """", IF(ISNUMBER(MATCH(BR$5, IFERROR(FILTER('MASTER LIST'!$N$2:$AB$294, 'MASTER LIST'!$A$2:$A$294=$A27), """"), 0)), ""Y"", """"))"),"")</f>
        <v/>
      </c>
      <c r="BS27" s="92" t="str">
        <f>IFERROR(__xludf.DUMMYFUNCTION("IF(OR($A27="""", BS$5=""""), """", IF(ISNUMBER(MATCH(BS$5, IFERROR(FILTER('MASTER LIST'!$N$2:$AB$294, 'MASTER LIST'!$A$2:$A$294=$A27), """"), 0)), ""Y"", """"))"),"")</f>
        <v/>
      </c>
      <c r="BT27" s="92" t="str">
        <f>IFERROR(__xludf.DUMMYFUNCTION("IF(OR($A27="""", BT$5=""""), """", IF(ISNUMBER(MATCH(BT$5, IFERROR(FILTER('MASTER LIST'!$N$2:$AB$294, 'MASTER LIST'!$A$2:$A$294=$A27), """"), 0)), ""Y"", """"))"),"")</f>
        <v/>
      </c>
      <c r="BU27" s="92" t="str">
        <f>IFERROR(__xludf.DUMMYFUNCTION("IF(OR($A27="""", BU$5=""""), """", IF(ISNUMBER(MATCH(BU$5, IFERROR(FILTER('MASTER LIST'!$N$2:$AB$294, 'MASTER LIST'!$A$2:$A$294=$A27), """"), 0)), ""Y"", """"))"),"")</f>
        <v/>
      </c>
      <c r="BV27" s="92" t="str">
        <f>IFERROR(__xludf.DUMMYFUNCTION("IF(OR($A27="""", BV$5=""""), """", IF(ISNUMBER(MATCH(BV$5, IFERROR(FILTER('MASTER LIST'!$N$2:$AB$294, 'MASTER LIST'!$A$2:$A$294=$A27), """"), 0)), ""Y"", """"))"),"")</f>
        <v/>
      </c>
      <c r="BW27" s="92" t="str">
        <f>IFERROR(__xludf.DUMMYFUNCTION("IF(OR($A27="""", BW$5=""""), """", IF(ISNUMBER(MATCH(BW$5, IFERROR(FILTER('MASTER LIST'!$N$2:$AB$294, 'MASTER LIST'!$A$2:$A$294=$A27), """"), 0)), ""Y"", """"))"),"")</f>
        <v/>
      </c>
      <c r="BX27" s="92" t="str">
        <f>IFERROR(__xludf.DUMMYFUNCTION("IF(OR($A27="""", BX$5=""""), """", IF(ISNUMBER(MATCH(BX$5, IFERROR(FILTER('MASTER LIST'!$N$2:$AB$294, 'MASTER LIST'!$A$2:$A$294=$A27), """"), 0)), ""Y"", """"))"),"")</f>
        <v/>
      </c>
      <c r="BY27" s="92" t="str">
        <f>IFERROR(__xludf.DUMMYFUNCTION("IF(OR($A27="""", BY$5=""""), """", IF(ISNUMBER(MATCH(BY$5, IFERROR(FILTER('MASTER LIST'!$N$2:$AB$294, 'MASTER LIST'!$A$2:$A$294=$A27), """"), 0)), ""Y"", """"))"),"")</f>
        <v/>
      </c>
      <c r="BZ27" s="92" t="str">
        <f>IFERROR(__xludf.DUMMYFUNCTION("IF(OR($A27="""", BZ$5=""""), """", IF(ISNUMBER(MATCH(BZ$5, IFERROR(FILTER('MASTER LIST'!$N$2:$AB$294, 'MASTER LIST'!$A$2:$A$294=$A27), """"), 0)), ""Y"", """"))"),"")</f>
        <v/>
      </c>
      <c r="CA27" s="92" t="str">
        <f>IFERROR(__xludf.DUMMYFUNCTION("IF(OR($A27="""", CA$5=""""), """", IF(ISNUMBER(MATCH(CA$5, IFERROR(FILTER('MASTER LIST'!$N$2:$AB$294, 'MASTER LIST'!$A$2:$A$294=$A27), """"), 0)), ""Y"", """"))"),"")</f>
        <v/>
      </c>
      <c r="CB27" s="92" t="str">
        <f>IFERROR(__xludf.DUMMYFUNCTION("IF(OR($A27="""", CB$5=""""), """", IF(ISNUMBER(MATCH(CB$5, IFERROR(FILTER('MASTER LIST'!$N$2:$AB$294, 'MASTER LIST'!$A$2:$A$294=$A27), """"), 0)), ""Y"", """"))"),"")</f>
        <v/>
      </c>
      <c r="CC27" s="92"/>
      <c r="CD27" s="92"/>
      <c r="CE27" s="92"/>
      <c r="CF27" s="92"/>
      <c r="CG27" s="92"/>
      <c r="CH27" s="92"/>
      <c r="CI27" s="92"/>
      <c r="CJ27" s="92"/>
      <c r="CK27" s="92"/>
    </row>
    <row r="28">
      <c r="A28" s="75"/>
      <c r="B28" s="75"/>
      <c r="C28" s="75"/>
      <c r="D28" s="75"/>
      <c r="E28" s="75"/>
      <c r="F28" s="75"/>
      <c r="G28" s="92" t="str">
        <f>IFERROR(__xludf.DUMMYFUNCTION("IF(OR($A28="""", G$5=""""), """", IF(ISNUMBER(MATCH(G$5, IFERROR(FILTER('MASTER LIST'!$N$2:$AB$294, 'MASTER LIST'!$A$2:$A$294=$A28), """"), 0)), ""Y"", """"))"),"")</f>
        <v/>
      </c>
      <c r="H28" s="92" t="str">
        <f>IFERROR(__xludf.DUMMYFUNCTION("IF(OR($A28="""", H$5=""""), """", IF(ISNUMBER(MATCH(H$5, IFERROR(FILTER('MASTER LIST'!$N$2:$AB$294, 'MASTER LIST'!$A$2:$A$294=$A28), """"), 0)), ""Y"", """"))"),"")</f>
        <v/>
      </c>
      <c r="I28" s="92" t="str">
        <f>IFERROR(__xludf.DUMMYFUNCTION("IF(OR($A28="""", I$5=""""), """", IF(ISNUMBER(MATCH(I$5, IFERROR(FILTER('MASTER LIST'!$N$2:$AB$294, 'MASTER LIST'!$A$2:$A$294=$A28), """"), 0)), ""Y"", """"))"),"")</f>
        <v/>
      </c>
      <c r="J28" s="92" t="str">
        <f>IFERROR(__xludf.DUMMYFUNCTION("IF(OR($A28="""", J$5=""""), """", IF(ISNUMBER(MATCH(J$5, IFERROR(FILTER('MASTER LIST'!$N$2:$W$294, 'MASTER LIST'!$A$2:$A$294=$A28), """"), 0)), ""Y"", """"))"),"")</f>
        <v/>
      </c>
      <c r="K28" s="92" t="str">
        <f>IFERROR(__xludf.DUMMYFUNCTION("IF(OR($A28="""", K$5=""""), """", IF(ISNUMBER(MATCH(K$5, IFERROR(FILTER('MASTER LIST'!$N$2:$AB$294, 'MASTER LIST'!$A$2:$A$294=$A28), """"), 0)), ""Y"", """"))"),"")</f>
        <v/>
      </c>
      <c r="L28" s="92" t="str">
        <f>IFERROR(__xludf.DUMMYFUNCTION("IF(OR($A28="""", L$5=""""), """", IF(ISNUMBER(MATCH(L$5, IFERROR(FILTER('MASTER LIST'!$N$2:$AB$294, 'MASTER LIST'!$A$2:$A$294=$A28), """"), 0)), ""Y"", """"))"),"")</f>
        <v/>
      </c>
      <c r="M28" s="92" t="str">
        <f>IFERROR(__xludf.DUMMYFUNCTION("IF(OR($A28="""", M$5=""""), """", IF(ISNUMBER(MATCH(M$5, IFERROR(FILTER('MASTER LIST'!$N$2:$AB$294, 'MASTER LIST'!$A$2:$A$294=$A28), """"), 0)), ""Y"", """"))"),"")</f>
        <v/>
      </c>
      <c r="N28" s="92" t="str">
        <f>IFERROR(__xludf.DUMMYFUNCTION("IF(OR($A28="""", N$5=""""), """", IF(ISNUMBER(MATCH(N$5, IFERROR(FILTER('MASTER LIST'!$N$2:$AB$294, 'MASTER LIST'!$A$2:$A$294=$A28), """"), 0)), ""Y"", """"))"),"")</f>
        <v/>
      </c>
      <c r="O28" s="92" t="str">
        <f>IFERROR(__xludf.DUMMYFUNCTION("IF(OR($A28="""", O$5=""""), """", IF(ISNUMBER(MATCH(O$5, IFERROR(FILTER('MASTER LIST'!$N$2:$AB$294, 'MASTER LIST'!$A$2:$A$294=$A28), """"), 0)), ""Y"", """"))"),"")</f>
        <v/>
      </c>
      <c r="P28" s="92" t="str">
        <f>IFERROR(__xludf.DUMMYFUNCTION("IF(OR($A28="""", P$5=""""), """", IF(ISNUMBER(MATCH(P$5, IFERROR(FILTER('MASTER LIST'!$N$2:$AB$294, 'MASTER LIST'!$A$2:$A$294=$A28), """"), 0)), ""Y"", """"))"),"")</f>
        <v/>
      </c>
      <c r="Q28" s="92" t="str">
        <f>IFERROR(__xludf.DUMMYFUNCTION("IF(OR($A28="""", Q$5=""""), """", IF(ISNUMBER(MATCH(Q$5, IFERROR(FILTER('MASTER LIST'!$N$2:$AB$294, 'MASTER LIST'!$A$2:$A$294=$A28), """"), 0)), ""Y"", """"))"),"")</f>
        <v/>
      </c>
      <c r="R28" s="92" t="str">
        <f>IFERROR(__xludf.DUMMYFUNCTION("IF(OR($A28="""", R$5=""""), """", IF(ISNUMBER(MATCH(R$5, IFERROR(FILTER('MASTER LIST'!$N$2:$AB$294, 'MASTER LIST'!$A$2:$A$294=$A28), """"), 0)), ""Y"", """"))"),"")</f>
        <v/>
      </c>
      <c r="S28" s="92" t="str">
        <f>IFERROR(__xludf.DUMMYFUNCTION("IF(OR($A28="""", S$5=""""), """", IF(ISNUMBER(MATCH(S$5, IFERROR(FILTER('MASTER LIST'!$N$2:$AB$294, 'MASTER LIST'!$A$2:$A$294=$A28), """"), 0)), ""Y"", """"))"),"")</f>
        <v/>
      </c>
      <c r="T28" s="92" t="str">
        <f>IFERROR(__xludf.DUMMYFUNCTION("IF(OR($A28="""", T$5=""""), """", IF(ISNUMBER(MATCH(T$5, IFERROR(FILTER('MASTER LIST'!$N$2:$AB$294, 'MASTER LIST'!$A$2:$A$294=$A28), """"), 0)), ""Y"", """"))"),"")</f>
        <v/>
      </c>
      <c r="U28" s="92" t="str">
        <f>IFERROR(__xludf.DUMMYFUNCTION("IF(OR($A28="""", U$5=""""), """", IF(ISNUMBER(MATCH(U$5, IFERROR(FILTER('MASTER LIST'!$N$2:$AB$294, 'MASTER LIST'!$A$2:$A$294=$A28), """"), 0)), ""Y"", """"))"),"")</f>
        <v/>
      </c>
      <c r="V28" s="92" t="str">
        <f>IFERROR(__xludf.DUMMYFUNCTION("IF(OR($A28="""", V$5=""""), """", IF(ISNUMBER(MATCH(V$5, IFERROR(FILTER('MASTER LIST'!$N$2:$AB$294, 'MASTER LIST'!$A$2:$A$294=$A28), """"), 0)), ""Y"", """"))"),"")</f>
        <v/>
      </c>
      <c r="W28" s="92" t="str">
        <f>IFERROR(__xludf.DUMMYFUNCTION("IF(OR($A28="""", W$5=""""), """", IF(ISNUMBER(MATCH(W$5, IFERROR(FILTER('MASTER LIST'!$N$2:$AB$294, 'MASTER LIST'!$A$2:$A$294=$A28), """"), 0)), ""Y"", """"))"),"")</f>
        <v/>
      </c>
      <c r="X28" s="92" t="str">
        <f>IFERROR(__xludf.DUMMYFUNCTION("IF(OR($A28="""", X$5=""""), """", IF(ISNUMBER(MATCH(X$5, IFERROR(FILTER('MASTER LIST'!$N$2:$AB$294, 'MASTER LIST'!$A$2:$A$294=$A28), """"), 0)), ""Y"", """"))"),"")</f>
        <v/>
      </c>
      <c r="Y28" s="92" t="str">
        <f>IFERROR(__xludf.DUMMYFUNCTION("IF(OR($A28="""", Y$5=""""), """", IF(ISNUMBER(MATCH(Y$5, IFERROR(FILTER('MASTER LIST'!$N$2:$AB$294, 'MASTER LIST'!$A$2:$A$294=$A28), """"), 0)), ""Y"", """"))"),"")</f>
        <v/>
      </c>
      <c r="Z28" s="92" t="str">
        <f>IFERROR(__xludf.DUMMYFUNCTION("IF(OR($A28="""", Z$5=""""), """", IF(ISNUMBER(MATCH(Z$5, IFERROR(FILTER('MASTER LIST'!$N$2:$AB$294, 'MASTER LIST'!$A$2:$A$294=$A28), """"), 0)), ""Y"", """"))"),"")</f>
        <v/>
      </c>
      <c r="AA28" s="92" t="str">
        <f>IFERROR(__xludf.DUMMYFUNCTION("IF(OR($A28="""", AA$5=""""), """", IF(ISNUMBER(MATCH(AA$5, IFERROR(FILTER('MASTER LIST'!$N$2:$AB$294, 'MASTER LIST'!$A$2:$A$294=$A28), """"), 0)), ""Y"", """"))"),"")</f>
        <v/>
      </c>
      <c r="AB28" s="92" t="str">
        <f>IFERROR(__xludf.DUMMYFUNCTION("IF(OR($A28="""", AB$5=""""), """", IF(ISNUMBER(MATCH(AB$5, IFERROR(FILTER('MASTER LIST'!$N$2:$AB$294, 'MASTER LIST'!$A$2:$A$294=$A28), """"), 0)), ""Y"", """"))"),"")</f>
        <v/>
      </c>
      <c r="AC28" s="92" t="str">
        <f>IFERROR(__xludf.DUMMYFUNCTION("IF(OR($A28="""", AC$5=""""), """", IF(ISNUMBER(MATCH(AC$5, IFERROR(FILTER('MASTER LIST'!$N$2:$AB$294, 'MASTER LIST'!$A$2:$A$294=$A28), """"), 0)), ""Y"", """"))"),"")</f>
        <v/>
      </c>
      <c r="AD28" s="92" t="str">
        <f>IFERROR(__xludf.DUMMYFUNCTION("IF(OR($A28="""", AD$5=""""), """", IF(ISNUMBER(MATCH(AD$5, IFERROR(FILTER('MASTER LIST'!$N$2:$AB$294, 'MASTER LIST'!$A$2:$A$294=$A28), """"), 0)), ""Y"", """"))"),"")</f>
        <v/>
      </c>
      <c r="AE28" s="92" t="str">
        <f>IFERROR(__xludf.DUMMYFUNCTION("IF(OR($A28="""", AE$5=""""), """", IF(ISNUMBER(MATCH(AE$5, IFERROR(FILTER('MASTER LIST'!$N$2:$AB$294, 'MASTER LIST'!$A$2:$A$294=$A28), """"), 0)), ""Y"", """"))"),"")</f>
        <v/>
      </c>
      <c r="AF28" s="92" t="str">
        <f>IFERROR(__xludf.DUMMYFUNCTION("IF(OR($A28="""", AF$5=""""), """", IF(ISNUMBER(MATCH(AF$5, IFERROR(FILTER('MASTER LIST'!$N$2:$AB$294, 'MASTER LIST'!$A$2:$A$294=$A28), """"), 0)), ""Y"", """"))"),"")</f>
        <v/>
      </c>
      <c r="AG28" s="92" t="str">
        <f>IFERROR(__xludf.DUMMYFUNCTION("IF(OR($A28="""", AG$5=""""), """", IF(ISNUMBER(MATCH(AG$5, IFERROR(FILTER('MASTER LIST'!$N$2:$AB$294, 'MASTER LIST'!$A$2:$A$294=$A28), """"), 0)), ""Y"", """"))"),"")</f>
        <v/>
      </c>
      <c r="AH28" s="92" t="str">
        <f>IFERROR(__xludf.DUMMYFUNCTION("IF(OR($A28="""", AH$5=""""), """", IF(ISNUMBER(MATCH(AH$5, IFERROR(FILTER('MASTER LIST'!$N$2:$AB$294, 'MASTER LIST'!$A$2:$A$294=$A28), """"), 0)), ""Y"", """"))"),"")</f>
        <v/>
      </c>
      <c r="AI28" s="92" t="str">
        <f>IFERROR(__xludf.DUMMYFUNCTION("IF(OR($A28="""", AI$5=""""), """", IF(ISNUMBER(MATCH(AI$5, IFERROR(FILTER('MASTER LIST'!$N$2:$AB$294, 'MASTER LIST'!$A$2:$A$294=$A28), """"), 0)), ""Y"", """"))"),"")</f>
        <v/>
      </c>
      <c r="AJ28" s="92" t="str">
        <f>IFERROR(__xludf.DUMMYFUNCTION("IF(OR($A28="""", AJ$5=""""), """", IF(ISNUMBER(MATCH(AJ$5, IFERROR(FILTER('MASTER LIST'!$N$2:$AB$294, 'MASTER LIST'!$A$2:$A$294=$A28), """"), 0)), ""Y"", """"))"),"")</f>
        <v/>
      </c>
      <c r="AK28" s="92" t="str">
        <f>IFERROR(__xludf.DUMMYFUNCTION("IF(OR($A28="""", AK$5=""""), """", IF(ISNUMBER(MATCH(AK$5, IFERROR(FILTER('MASTER LIST'!$N$2:$AB$294, 'MASTER LIST'!$A$2:$A$294=$A28), """"), 0)), ""Y"", """"))"),"")</f>
        <v/>
      </c>
      <c r="AL28" s="92" t="str">
        <f>IFERROR(__xludf.DUMMYFUNCTION("IF(OR($A28="""", AL$5=""""), """", IF(ISNUMBER(MATCH(AL$5, IFERROR(FILTER('MASTER LIST'!$N$2:$AB$294, 'MASTER LIST'!$A$2:$A$294=$A28), """"), 0)), ""Y"", """"))"),"")</f>
        <v/>
      </c>
      <c r="AM28" s="92" t="str">
        <f>IFERROR(__xludf.DUMMYFUNCTION("IF(OR($A28="""", AM$5=""""), """", IF(ISNUMBER(MATCH(AM$5, IFERROR(FILTER('MASTER LIST'!$N$2:$AB$294, 'MASTER LIST'!$A$2:$A$294=$A28), """"), 0)), ""Y"", """"))"),"")</f>
        <v/>
      </c>
      <c r="AN28" s="92" t="str">
        <f>IFERROR(__xludf.DUMMYFUNCTION("IF(OR($A28="""", AN$5=""""), """", IF(ISNUMBER(MATCH(AN$5, IFERROR(FILTER('MASTER LIST'!$N$2:$AB$294, 'MASTER LIST'!$A$2:$A$294=$A28), """"), 0)), ""Y"", """"))"),"")</f>
        <v/>
      </c>
      <c r="AO28" s="92" t="str">
        <f>IFERROR(__xludf.DUMMYFUNCTION("IF(OR($A28="""", AO$5=""""), """", IF(ISNUMBER(MATCH(AO$5, IFERROR(FILTER('MASTER LIST'!$N$2:$AB$294, 'MASTER LIST'!$A$2:$A$294=$A28), """"), 0)), ""Y"", """"))"),"")</f>
        <v/>
      </c>
      <c r="AP28" s="92" t="str">
        <f>IFERROR(__xludf.DUMMYFUNCTION("IF(OR($A28="""", AP$5=""""), """", IF(ISNUMBER(MATCH(AP$5, IFERROR(FILTER('MASTER LIST'!$N$2:$AB$294, 'MASTER LIST'!$A$2:$A$294=$A28), """"), 0)), ""Y"", """"))"),"")</f>
        <v/>
      </c>
      <c r="AQ28" s="92" t="str">
        <f>IFERROR(__xludf.DUMMYFUNCTION("IF(OR($A28="""", AQ$5=""""), """", IF(ISNUMBER(MATCH(AQ$5, IFERROR(FILTER('MASTER LIST'!$N$2:$AB$294, 'MASTER LIST'!$A$2:$A$294=$A28), """"), 0)), ""Y"", """"))"),"")</f>
        <v/>
      </c>
      <c r="AR28" s="92" t="str">
        <f>IFERROR(__xludf.DUMMYFUNCTION("IF(OR($A28="""", AR$5=""""), """", IF(ISNUMBER(MATCH(AR$5, IFERROR(FILTER('MASTER LIST'!$N$2:$AB$294, 'MASTER LIST'!$A$2:$A$294=$A28), """"), 0)), ""Y"", """"))"),"")</f>
        <v/>
      </c>
      <c r="AS28" s="92" t="str">
        <f>IFERROR(__xludf.DUMMYFUNCTION("IF(OR($A28="""", AS$5=""""), """", IF(ISNUMBER(MATCH(AS$5, IFERROR(FILTER('MASTER LIST'!$N$2:$AB$294, 'MASTER LIST'!$A$2:$A$294=$A28), """"), 0)), ""Y"", """"))"),"")</f>
        <v/>
      </c>
      <c r="AT28" s="92" t="str">
        <f>IFERROR(__xludf.DUMMYFUNCTION("IF(OR($A28="""", AT$5=""""), """", IF(ISNUMBER(MATCH(AT$5, IFERROR(FILTER('MASTER LIST'!$N$2:$AB$294, 'MASTER LIST'!$A$2:$A$294=$A28), """"), 0)), ""Y"", """"))"),"")</f>
        <v/>
      </c>
      <c r="AU28" s="92" t="str">
        <f>IFERROR(__xludf.DUMMYFUNCTION("IF(OR($A28="""", AU$5=""""), """", IF(ISNUMBER(MATCH(AU$5, IFERROR(FILTER('MASTER LIST'!$N$2:$AB$294, 'MASTER LIST'!$A$2:$A$294=$A28), """"), 0)), ""Y"", """"))"),"")</f>
        <v/>
      </c>
      <c r="AV28" s="92" t="str">
        <f>IFERROR(__xludf.DUMMYFUNCTION("IF(OR($A28="""", AV$5=""""), """", IF(ISNUMBER(MATCH(AV$5, IFERROR(FILTER('MASTER LIST'!$N$2:$AB$294, 'MASTER LIST'!$A$2:$A$294=$A28), """"), 0)), ""Y"", """"))"),"")</f>
        <v/>
      </c>
      <c r="AW28" s="92" t="str">
        <f>IFERROR(__xludf.DUMMYFUNCTION("IF(OR($A28="""", AW$5=""""), """", IF(ISNUMBER(MATCH(AW$5, IFERROR(FILTER('MASTER LIST'!$N$2:$AB$294, 'MASTER LIST'!$A$2:$A$294=$A28), """"), 0)), ""Y"", """"))"),"")</f>
        <v/>
      </c>
      <c r="AX28" s="92" t="str">
        <f>IFERROR(__xludf.DUMMYFUNCTION("IF(OR($A28="""", AX$5=""""), """", IF(ISNUMBER(MATCH(AX$5, IFERROR(FILTER('MASTER LIST'!$N$2:$AB$294, 'MASTER LIST'!$A$2:$A$294=$A28), """"), 0)), ""Y"", """"))"),"")</f>
        <v/>
      </c>
      <c r="AY28" s="92" t="str">
        <f>IFERROR(__xludf.DUMMYFUNCTION("IF(OR($A28="""", AY$5=""""), """", IF(ISNUMBER(MATCH(AY$5, IFERROR(FILTER('MASTER LIST'!$N$2:$AB$294, 'MASTER LIST'!$A$2:$A$294=$A28), """"), 0)), ""Y"", """"))"),"")</f>
        <v/>
      </c>
      <c r="AZ28" s="92" t="str">
        <f>IFERROR(__xludf.DUMMYFUNCTION("IF(OR($A28="""", AZ$5=""""), """", IF(ISNUMBER(MATCH(AZ$5, IFERROR(FILTER('MASTER LIST'!$N$2:$AB$294, 'MASTER LIST'!$A$2:$A$294=$A28), """"), 0)), ""Y"", """"))"),"")</f>
        <v/>
      </c>
      <c r="BA28" s="92" t="str">
        <f>IFERROR(__xludf.DUMMYFUNCTION("IF(OR($A28="""", BA$5=""""), """", IF(ISNUMBER(MATCH(BA$5, IFERROR(FILTER('MASTER LIST'!$N$2:$AB$294, 'MASTER LIST'!$A$2:$A$294=$A28), """"), 0)), ""Y"", """"))"),"")</f>
        <v/>
      </c>
      <c r="BB28" s="92" t="str">
        <f>IFERROR(__xludf.DUMMYFUNCTION("IF(OR($A28="""", BB$5=""""), """", IF(ISNUMBER(MATCH(BB$5, IFERROR(FILTER('MASTER LIST'!$N$2:$AB$294, 'MASTER LIST'!$A$2:$A$294=$A28), """"), 0)), ""Y"", """"))"),"")</f>
        <v/>
      </c>
      <c r="BC28" s="92" t="str">
        <f>IFERROR(__xludf.DUMMYFUNCTION("IF(OR($A28="""", BC$5=""""), """", IF(ISNUMBER(MATCH(BC$5, IFERROR(FILTER('MASTER LIST'!$N$2:$AB$294, 'MASTER LIST'!$A$2:$A$294=$A28), """"), 0)), ""Y"", """"))"),"")</f>
        <v/>
      </c>
      <c r="BD28" s="92" t="str">
        <f>IFERROR(__xludf.DUMMYFUNCTION("IF(OR($A28="""", BD$5=""""), """", IF(ISNUMBER(MATCH(BD$5, IFERROR(FILTER('MASTER LIST'!$N$2:$AB$294, 'MASTER LIST'!$A$2:$A$294=$A28), """"), 0)), ""Y"", """"))"),"")</f>
        <v/>
      </c>
      <c r="BE28" s="92" t="str">
        <f>IFERROR(__xludf.DUMMYFUNCTION("IF(OR($A28="""", BE$5=""""), """", IF(ISNUMBER(MATCH(BE$5, IFERROR(FILTER('MASTER LIST'!$N$2:$AB$294, 'MASTER LIST'!$A$2:$A$294=$A28), """"), 0)), ""Y"", """"))"),"")</f>
        <v/>
      </c>
      <c r="BF28" s="92" t="str">
        <f>IFERROR(__xludf.DUMMYFUNCTION("IF(OR($A28="""", BF$5=""""), """", IF(ISNUMBER(MATCH(BF$5, IFERROR(FILTER('MASTER LIST'!$N$2:$AB$294, 'MASTER LIST'!$A$2:$A$294=$A28), """"), 0)), ""Y"", """"))"),"")</f>
        <v/>
      </c>
      <c r="BG28" s="92" t="str">
        <f>IFERROR(__xludf.DUMMYFUNCTION("IF(OR($A28="""", BG$5=""""), """", IF(ISNUMBER(MATCH(BG$5, IFERROR(FILTER('MASTER LIST'!$N$2:$AB$294, 'MASTER LIST'!$A$2:$A$294=$A28), """"), 0)), ""Y"", """"))"),"")</f>
        <v/>
      </c>
      <c r="BH28" s="92" t="str">
        <f>IFERROR(__xludf.DUMMYFUNCTION("IF(OR($A28="""", BH$5=""""), """", IF(ISNUMBER(MATCH(BH$5, IFERROR(FILTER('MASTER LIST'!$N$2:$AB$294, 'MASTER LIST'!$A$2:$A$294=$A28), """"), 0)), ""Y"", """"))"),"")</f>
        <v/>
      </c>
      <c r="BI28" s="92" t="str">
        <f>IFERROR(__xludf.DUMMYFUNCTION("IF(OR($A28="""", BI$5=""""), """", IF(ISNUMBER(MATCH(BI$5, IFERROR(FILTER('MASTER LIST'!$N$2:$AB$294, 'MASTER LIST'!$A$2:$A$294=$A28), """"), 0)), ""Y"", """"))"),"")</f>
        <v/>
      </c>
      <c r="BJ28" s="92" t="str">
        <f>IFERROR(__xludf.DUMMYFUNCTION("IF(OR($A28="""", BJ$5=""""), """", IF(ISNUMBER(MATCH(BJ$5, IFERROR(FILTER('MASTER LIST'!$N$2:$AB$294, 'MASTER LIST'!$A$2:$A$294=$A28), """"), 0)), ""Y"", """"))"),"")</f>
        <v/>
      </c>
      <c r="BK28" s="92" t="str">
        <f>IFERROR(__xludf.DUMMYFUNCTION("IF(OR($A28="""", BK$5=""""), """", IF(ISNUMBER(MATCH(BK$5, IFERROR(FILTER('MASTER LIST'!$N$2:$AB$294, 'MASTER LIST'!$A$2:$A$294=$A28), """"), 0)), ""Y"", """"))"),"")</f>
        <v/>
      </c>
      <c r="BL28" s="92" t="str">
        <f>IFERROR(__xludf.DUMMYFUNCTION("IF(OR($A28="""", BL$5=""""), """", IF(ISNUMBER(MATCH(BL$5, IFERROR(FILTER('MASTER LIST'!$N$2:$AB$294, 'MASTER LIST'!$A$2:$A$294=$A28), """"), 0)), ""Y"", """"))"),"")</f>
        <v/>
      </c>
      <c r="BM28" s="92" t="str">
        <f>IFERROR(__xludf.DUMMYFUNCTION("IF(OR($A28="""", BM$5=""""), """", IF(ISNUMBER(MATCH(BM$5, IFERROR(FILTER('MASTER LIST'!$N$2:$AB$294, 'MASTER LIST'!$A$2:$A$294=$A28), """"), 0)), ""Y"", """"))"),"")</f>
        <v/>
      </c>
      <c r="BN28" s="92" t="str">
        <f>IFERROR(__xludf.DUMMYFUNCTION("IF(OR($A28="""", BN$5=""""), """", IF(ISNUMBER(MATCH(BN$5, IFERROR(FILTER('MASTER LIST'!$N$2:$AB$294, 'MASTER LIST'!$A$2:$A$294=$A28), """"), 0)), ""Y"", """"))"),"")</f>
        <v/>
      </c>
      <c r="BO28" s="92" t="str">
        <f>IFERROR(__xludf.DUMMYFUNCTION("IF(OR($A28="""", BO$5=""""), """", IF(ISNUMBER(MATCH(BO$5, IFERROR(FILTER('MASTER LIST'!$N$2:$AB$294, 'MASTER LIST'!$A$2:$A$294=$A28), """"), 0)), ""Y"", """"))"),"")</f>
        <v/>
      </c>
      <c r="BP28" s="92" t="str">
        <f>IFERROR(__xludf.DUMMYFUNCTION("IF(OR($A28="""", BP$5=""""), """", IF(ISNUMBER(MATCH(BP$5, IFERROR(FILTER('MASTER LIST'!$N$2:$AB$294, 'MASTER LIST'!$A$2:$A$294=$A28), """"), 0)), ""Y"", """"))"),"")</f>
        <v/>
      </c>
      <c r="BQ28" s="92" t="str">
        <f>IFERROR(__xludf.DUMMYFUNCTION("IF(OR($A28="""", BQ$5=""""), """", IF(ISNUMBER(MATCH(BQ$5, IFERROR(FILTER('MASTER LIST'!$N$2:$AB$294, 'MASTER LIST'!$A$2:$A$294=$A28), """"), 0)), ""Y"", """"))"),"")</f>
        <v/>
      </c>
      <c r="BR28" s="92" t="str">
        <f>IFERROR(__xludf.DUMMYFUNCTION("IF(OR($A28="""", BR$5=""""), """", IF(ISNUMBER(MATCH(BR$5, IFERROR(FILTER('MASTER LIST'!$N$2:$AB$294, 'MASTER LIST'!$A$2:$A$294=$A28), """"), 0)), ""Y"", """"))"),"")</f>
        <v/>
      </c>
      <c r="BS28" s="92" t="str">
        <f>IFERROR(__xludf.DUMMYFUNCTION("IF(OR($A28="""", BS$5=""""), """", IF(ISNUMBER(MATCH(BS$5, IFERROR(FILTER('MASTER LIST'!$N$2:$AB$294, 'MASTER LIST'!$A$2:$A$294=$A28), """"), 0)), ""Y"", """"))"),"")</f>
        <v/>
      </c>
      <c r="BT28" s="92" t="str">
        <f>IFERROR(__xludf.DUMMYFUNCTION("IF(OR($A28="""", BT$5=""""), """", IF(ISNUMBER(MATCH(BT$5, IFERROR(FILTER('MASTER LIST'!$N$2:$AB$294, 'MASTER LIST'!$A$2:$A$294=$A28), """"), 0)), ""Y"", """"))"),"")</f>
        <v/>
      </c>
      <c r="BU28" s="92" t="str">
        <f>IFERROR(__xludf.DUMMYFUNCTION("IF(OR($A28="""", BU$5=""""), """", IF(ISNUMBER(MATCH(BU$5, IFERROR(FILTER('MASTER LIST'!$N$2:$AB$294, 'MASTER LIST'!$A$2:$A$294=$A28), """"), 0)), ""Y"", """"))"),"")</f>
        <v/>
      </c>
      <c r="BV28" s="92" t="str">
        <f>IFERROR(__xludf.DUMMYFUNCTION("IF(OR($A28="""", BV$5=""""), """", IF(ISNUMBER(MATCH(BV$5, IFERROR(FILTER('MASTER LIST'!$N$2:$AB$294, 'MASTER LIST'!$A$2:$A$294=$A28), """"), 0)), ""Y"", """"))"),"")</f>
        <v/>
      </c>
      <c r="BW28" s="92" t="str">
        <f>IFERROR(__xludf.DUMMYFUNCTION("IF(OR($A28="""", BW$5=""""), """", IF(ISNUMBER(MATCH(BW$5, IFERROR(FILTER('MASTER LIST'!$N$2:$AB$294, 'MASTER LIST'!$A$2:$A$294=$A28), """"), 0)), ""Y"", """"))"),"")</f>
        <v/>
      </c>
      <c r="BX28" s="92" t="str">
        <f>IFERROR(__xludf.DUMMYFUNCTION("IF(OR($A28="""", BX$5=""""), """", IF(ISNUMBER(MATCH(BX$5, IFERROR(FILTER('MASTER LIST'!$N$2:$AB$294, 'MASTER LIST'!$A$2:$A$294=$A28), """"), 0)), ""Y"", """"))"),"")</f>
        <v/>
      </c>
      <c r="BY28" s="92" t="str">
        <f>IFERROR(__xludf.DUMMYFUNCTION("IF(OR($A28="""", BY$5=""""), """", IF(ISNUMBER(MATCH(BY$5, IFERROR(FILTER('MASTER LIST'!$N$2:$AB$294, 'MASTER LIST'!$A$2:$A$294=$A28), """"), 0)), ""Y"", """"))"),"")</f>
        <v/>
      </c>
      <c r="BZ28" s="92" t="str">
        <f>IFERROR(__xludf.DUMMYFUNCTION("IF(OR($A28="""", BZ$5=""""), """", IF(ISNUMBER(MATCH(BZ$5, IFERROR(FILTER('MASTER LIST'!$N$2:$AB$294, 'MASTER LIST'!$A$2:$A$294=$A28), """"), 0)), ""Y"", """"))"),"")</f>
        <v/>
      </c>
      <c r="CA28" s="92" t="str">
        <f>IFERROR(__xludf.DUMMYFUNCTION("IF(OR($A28="""", CA$5=""""), """", IF(ISNUMBER(MATCH(CA$5, IFERROR(FILTER('MASTER LIST'!$N$2:$AB$294, 'MASTER LIST'!$A$2:$A$294=$A28), """"), 0)), ""Y"", """"))"),"")</f>
        <v/>
      </c>
      <c r="CB28" s="92" t="str">
        <f>IFERROR(__xludf.DUMMYFUNCTION("IF(OR($A28="""", CB$5=""""), """", IF(ISNUMBER(MATCH(CB$5, IFERROR(FILTER('MASTER LIST'!$N$2:$AB$294, 'MASTER LIST'!$A$2:$A$294=$A28), """"), 0)), ""Y"", """"))"),"")</f>
        <v/>
      </c>
      <c r="CC28" s="92"/>
      <c r="CD28" s="92"/>
      <c r="CE28" s="92"/>
      <c r="CF28" s="92"/>
      <c r="CG28" s="92"/>
      <c r="CH28" s="92"/>
      <c r="CI28" s="92"/>
      <c r="CJ28" s="92"/>
      <c r="CK28" s="92"/>
    </row>
    <row r="29">
      <c r="A29" s="75"/>
      <c r="B29" s="75"/>
      <c r="C29" s="75"/>
      <c r="D29" s="75"/>
      <c r="E29" s="75"/>
      <c r="F29" s="75"/>
      <c r="G29" s="92" t="str">
        <f>IFERROR(__xludf.DUMMYFUNCTION("IF(OR($A29="""", G$5=""""), """", IF(ISNUMBER(MATCH(G$5, IFERROR(FILTER('MASTER LIST'!$N$2:$AB$294, 'MASTER LIST'!$A$2:$A$294=$A29), """"), 0)), ""Y"", """"))"),"")</f>
        <v/>
      </c>
      <c r="H29" s="92" t="str">
        <f>IFERROR(__xludf.DUMMYFUNCTION("IF(OR($A29="""", H$5=""""), """", IF(ISNUMBER(MATCH(H$5, IFERROR(FILTER('MASTER LIST'!$N$2:$AB$294, 'MASTER LIST'!$A$2:$A$294=$A29), """"), 0)), ""Y"", """"))"),"")</f>
        <v/>
      </c>
      <c r="I29" s="92" t="str">
        <f>IFERROR(__xludf.DUMMYFUNCTION("IF(OR($A29="""", I$5=""""), """", IF(ISNUMBER(MATCH(I$5, IFERROR(FILTER('MASTER LIST'!$N$2:$AB$294, 'MASTER LIST'!$A$2:$A$294=$A29), """"), 0)), ""Y"", """"))"),"")</f>
        <v/>
      </c>
      <c r="J29" s="92" t="str">
        <f>IFERROR(__xludf.DUMMYFUNCTION("IF(OR($A29="""", J$5=""""), """", IF(ISNUMBER(MATCH(J$5, IFERROR(FILTER('MASTER LIST'!$N$2:$W$294, 'MASTER LIST'!$A$2:$A$294=$A29), """"), 0)), ""Y"", """"))"),"")</f>
        <v/>
      </c>
      <c r="K29" s="92" t="str">
        <f>IFERROR(__xludf.DUMMYFUNCTION("IF(OR($A29="""", K$5=""""), """", IF(ISNUMBER(MATCH(K$5, IFERROR(FILTER('MASTER LIST'!$N$2:$AB$294, 'MASTER LIST'!$A$2:$A$294=$A29), """"), 0)), ""Y"", """"))"),"")</f>
        <v/>
      </c>
      <c r="L29" s="92" t="str">
        <f>IFERROR(__xludf.DUMMYFUNCTION("IF(OR($A29="""", L$5=""""), """", IF(ISNUMBER(MATCH(L$5, IFERROR(FILTER('MASTER LIST'!$N$2:$AB$294, 'MASTER LIST'!$A$2:$A$294=$A29), """"), 0)), ""Y"", """"))"),"")</f>
        <v/>
      </c>
      <c r="M29" s="92" t="str">
        <f>IFERROR(__xludf.DUMMYFUNCTION("IF(OR($A29="""", M$5=""""), """", IF(ISNUMBER(MATCH(M$5, IFERROR(FILTER('MASTER LIST'!$N$2:$AB$294, 'MASTER LIST'!$A$2:$A$294=$A29), """"), 0)), ""Y"", """"))"),"")</f>
        <v/>
      </c>
      <c r="N29" s="92" t="str">
        <f>IFERROR(__xludf.DUMMYFUNCTION("IF(OR($A29="""", N$5=""""), """", IF(ISNUMBER(MATCH(N$5, IFERROR(FILTER('MASTER LIST'!$N$2:$AB$294, 'MASTER LIST'!$A$2:$A$294=$A29), """"), 0)), ""Y"", """"))"),"")</f>
        <v/>
      </c>
      <c r="O29" s="92" t="str">
        <f>IFERROR(__xludf.DUMMYFUNCTION("IF(OR($A29="""", O$5=""""), """", IF(ISNUMBER(MATCH(O$5, IFERROR(FILTER('MASTER LIST'!$N$2:$AB$294, 'MASTER LIST'!$A$2:$A$294=$A29), """"), 0)), ""Y"", """"))"),"")</f>
        <v/>
      </c>
      <c r="P29" s="92" t="str">
        <f>IFERROR(__xludf.DUMMYFUNCTION("IF(OR($A29="""", P$5=""""), """", IF(ISNUMBER(MATCH(P$5, IFERROR(FILTER('MASTER LIST'!$N$2:$AB$294, 'MASTER LIST'!$A$2:$A$294=$A29), """"), 0)), ""Y"", """"))"),"")</f>
        <v/>
      </c>
      <c r="Q29" s="92" t="str">
        <f>IFERROR(__xludf.DUMMYFUNCTION("IF(OR($A29="""", Q$5=""""), """", IF(ISNUMBER(MATCH(Q$5, IFERROR(FILTER('MASTER LIST'!$N$2:$AB$294, 'MASTER LIST'!$A$2:$A$294=$A29), """"), 0)), ""Y"", """"))"),"")</f>
        <v/>
      </c>
      <c r="R29" s="92" t="str">
        <f>IFERROR(__xludf.DUMMYFUNCTION("IF(OR($A29="""", R$5=""""), """", IF(ISNUMBER(MATCH(R$5, IFERROR(FILTER('MASTER LIST'!$N$2:$AB$294, 'MASTER LIST'!$A$2:$A$294=$A29), """"), 0)), ""Y"", """"))"),"")</f>
        <v/>
      </c>
      <c r="S29" s="92" t="str">
        <f>IFERROR(__xludf.DUMMYFUNCTION("IF(OR($A29="""", S$5=""""), """", IF(ISNUMBER(MATCH(S$5, IFERROR(FILTER('MASTER LIST'!$N$2:$AB$294, 'MASTER LIST'!$A$2:$A$294=$A29), """"), 0)), ""Y"", """"))"),"")</f>
        <v/>
      </c>
      <c r="T29" s="92" t="str">
        <f>IFERROR(__xludf.DUMMYFUNCTION("IF(OR($A29="""", T$5=""""), """", IF(ISNUMBER(MATCH(T$5, IFERROR(FILTER('MASTER LIST'!$N$2:$AB$294, 'MASTER LIST'!$A$2:$A$294=$A29), """"), 0)), ""Y"", """"))"),"")</f>
        <v/>
      </c>
      <c r="U29" s="92" t="str">
        <f>IFERROR(__xludf.DUMMYFUNCTION("IF(OR($A29="""", U$5=""""), """", IF(ISNUMBER(MATCH(U$5, IFERROR(FILTER('MASTER LIST'!$N$2:$AB$294, 'MASTER LIST'!$A$2:$A$294=$A29), """"), 0)), ""Y"", """"))"),"")</f>
        <v/>
      </c>
      <c r="V29" s="92" t="str">
        <f>IFERROR(__xludf.DUMMYFUNCTION("IF(OR($A29="""", V$5=""""), """", IF(ISNUMBER(MATCH(V$5, IFERROR(FILTER('MASTER LIST'!$N$2:$AB$294, 'MASTER LIST'!$A$2:$A$294=$A29), """"), 0)), ""Y"", """"))"),"")</f>
        <v/>
      </c>
      <c r="W29" s="92" t="str">
        <f>IFERROR(__xludf.DUMMYFUNCTION("IF(OR($A29="""", W$5=""""), """", IF(ISNUMBER(MATCH(W$5, IFERROR(FILTER('MASTER LIST'!$N$2:$AB$294, 'MASTER LIST'!$A$2:$A$294=$A29), """"), 0)), ""Y"", """"))"),"")</f>
        <v/>
      </c>
      <c r="X29" s="92" t="str">
        <f>IFERROR(__xludf.DUMMYFUNCTION("IF(OR($A29="""", X$5=""""), """", IF(ISNUMBER(MATCH(X$5, IFERROR(FILTER('MASTER LIST'!$N$2:$AB$294, 'MASTER LIST'!$A$2:$A$294=$A29), """"), 0)), ""Y"", """"))"),"")</f>
        <v/>
      </c>
      <c r="Y29" s="92" t="str">
        <f>IFERROR(__xludf.DUMMYFUNCTION("IF(OR($A29="""", Y$5=""""), """", IF(ISNUMBER(MATCH(Y$5, IFERROR(FILTER('MASTER LIST'!$N$2:$AB$294, 'MASTER LIST'!$A$2:$A$294=$A29), """"), 0)), ""Y"", """"))"),"")</f>
        <v/>
      </c>
      <c r="Z29" s="92" t="str">
        <f>IFERROR(__xludf.DUMMYFUNCTION("IF(OR($A29="""", Z$5=""""), """", IF(ISNUMBER(MATCH(Z$5, IFERROR(FILTER('MASTER LIST'!$N$2:$AB$294, 'MASTER LIST'!$A$2:$A$294=$A29), """"), 0)), ""Y"", """"))"),"")</f>
        <v/>
      </c>
      <c r="AA29" s="92" t="str">
        <f>IFERROR(__xludf.DUMMYFUNCTION("IF(OR($A29="""", AA$5=""""), """", IF(ISNUMBER(MATCH(AA$5, IFERROR(FILTER('MASTER LIST'!$N$2:$AB$294, 'MASTER LIST'!$A$2:$A$294=$A29), """"), 0)), ""Y"", """"))"),"")</f>
        <v/>
      </c>
      <c r="AB29" s="92" t="str">
        <f>IFERROR(__xludf.DUMMYFUNCTION("IF(OR($A29="""", AB$5=""""), """", IF(ISNUMBER(MATCH(AB$5, IFERROR(FILTER('MASTER LIST'!$N$2:$AB$294, 'MASTER LIST'!$A$2:$A$294=$A29), """"), 0)), ""Y"", """"))"),"")</f>
        <v/>
      </c>
      <c r="AC29" s="92" t="str">
        <f>IFERROR(__xludf.DUMMYFUNCTION("IF(OR($A29="""", AC$5=""""), """", IF(ISNUMBER(MATCH(AC$5, IFERROR(FILTER('MASTER LIST'!$N$2:$AB$294, 'MASTER LIST'!$A$2:$A$294=$A29), """"), 0)), ""Y"", """"))"),"")</f>
        <v/>
      </c>
      <c r="AD29" s="92" t="str">
        <f>IFERROR(__xludf.DUMMYFUNCTION("IF(OR($A29="""", AD$5=""""), """", IF(ISNUMBER(MATCH(AD$5, IFERROR(FILTER('MASTER LIST'!$N$2:$AB$294, 'MASTER LIST'!$A$2:$A$294=$A29), """"), 0)), ""Y"", """"))"),"")</f>
        <v/>
      </c>
      <c r="AE29" s="92" t="str">
        <f>IFERROR(__xludf.DUMMYFUNCTION("IF(OR($A29="""", AE$5=""""), """", IF(ISNUMBER(MATCH(AE$5, IFERROR(FILTER('MASTER LIST'!$N$2:$AB$294, 'MASTER LIST'!$A$2:$A$294=$A29), """"), 0)), ""Y"", """"))"),"")</f>
        <v/>
      </c>
      <c r="AF29" s="92" t="str">
        <f>IFERROR(__xludf.DUMMYFUNCTION("IF(OR($A29="""", AF$5=""""), """", IF(ISNUMBER(MATCH(AF$5, IFERROR(FILTER('MASTER LIST'!$N$2:$AB$294, 'MASTER LIST'!$A$2:$A$294=$A29), """"), 0)), ""Y"", """"))"),"")</f>
        <v/>
      </c>
      <c r="AG29" s="92" t="str">
        <f>IFERROR(__xludf.DUMMYFUNCTION("IF(OR($A29="""", AG$5=""""), """", IF(ISNUMBER(MATCH(AG$5, IFERROR(FILTER('MASTER LIST'!$N$2:$AB$294, 'MASTER LIST'!$A$2:$A$294=$A29), """"), 0)), ""Y"", """"))"),"")</f>
        <v/>
      </c>
      <c r="AH29" s="92" t="str">
        <f>IFERROR(__xludf.DUMMYFUNCTION("IF(OR($A29="""", AH$5=""""), """", IF(ISNUMBER(MATCH(AH$5, IFERROR(FILTER('MASTER LIST'!$N$2:$AB$294, 'MASTER LIST'!$A$2:$A$294=$A29), """"), 0)), ""Y"", """"))"),"")</f>
        <v/>
      </c>
      <c r="AI29" s="92" t="str">
        <f>IFERROR(__xludf.DUMMYFUNCTION("IF(OR($A29="""", AI$5=""""), """", IF(ISNUMBER(MATCH(AI$5, IFERROR(FILTER('MASTER LIST'!$N$2:$AB$294, 'MASTER LIST'!$A$2:$A$294=$A29), """"), 0)), ""Y"", """"))"),"")</f>
        <v/>
      </c>
      <c r="AJ29" s="92" t="str">
        <f>IFERROR(__xludf.DUMMYFUNCTION("IF(OR($A29="""", AJ$5=""""), """", IF(ISNUMBER(MATCH(AJ$5, IFERROR(FILTER('MASTER LIST'!$N$2:$AB$294, 'MASTER LIST'!$A$2:$A$294=$A29), """"), 0)), ""Y"", """"))"),"")</f>
        <v/>
      </c>
      <c r="AK29" s="92" t="str">
        <f>IFERROR(__xludf.DUMMYFUNCTION("IF(OR($A29="""", AK$5=""""), """", IF(ISNUMBER(MATCH(AK$5, IFERROR(FILTER('MASTER LIST'!$N$2:$AB$294, 'MASTER LIST'!$A$2:$A$294=$A29), """"), 0)), ""Y"", """"))"),"")</f>
        <v/>
      </c>
      <c r="AL29" s="92" t="str">
        <f>IFERROR(__xludf.DUMMYFUNCTION("IF(OR($A29="""", AL$5=""""), """", IF(ISNUMBER(MATCH(AL$5, IFERROR(FILTER('MASTER LIST'!$N$2:$AB$294, 'MASTER LIST'!$A$2:$A$294=$A29), """"), 0)), ""Y"", """"))"),"")</f>
        <v/>
      </c>
      <c r="AM29" s="92" t="str">
        <f>IFERROR(__xludf.DUMMYFUNCTION("IF(OR($A29="""", AM$5=""""), """", IF(ISNUMBER(MATCH(AM$5, IFERROR(FILTER('MASTER LIST'!$N$2:$AB$294, 'MASTER LIST'!$A$2:$A$294=$A29), """"), 0)), ""Y"", """"))"),"")</f>
        <v/>
      </c>
      <c r="AN29" s="92" t="str">
        <f>IFERROR(__xludf.DUMMYFUNCTION("IF(OR($A29="""", AN$5=""""), """", IF(ISNUMBER(MATCH(AN$5, IFERROR(FILTER('MASTER LIST'!$N$2:$AB$294, 'MASTER LIST'!$A$2:$A$294=$A29), """"), 0)), ""Y"", """"))"),"")</f>
        <v/>
      </c>
      <c r="AO29" s="92" t="str">
        <f>IFERROR(__xludf.DUMMYFUNCTION("IF(OR($A29="""", AO$5=""""), """", IF(ISNUMBER(MATCH(AO$5, IFERROR(FILTER('MASTER LIST'!$N$2:$AB$294, 'MASTER LIST'!$A$2:$A$294=$A29), """"), 0)), ""Y"", """"))"),"")</f>
        <v/>
      </c>
      <c r="AP29" s="92" t="str">
        <f>IFERROR(__xludf.DUMMYFUNCTION("IF(OR($A29="""", AP$5=""""), """", IF(ISNUMBER(MATCH(AP$5, IFERROR(FILTER('MASTER LIST'!$N$2:$AB$294, 'MASTER LIST'!$A$2:$A$294=$A29), """"), 0)), ""Y"", """"))"),"")</f>
        <v/>
      </c>
      <c r="AQ29" s="92" t="str">
        <f>IFERROR(__xludf.DUMMYFUNCTION("IF(OR($A29="""", AQ$5=""""), """", IF(ISNUMBER(MATCH(AQ$5, IFERROR(FILTER('MASTER LIST'!$N$2:$AB$294, 'MASTER LIST'!$A$2:$A$294=$A29), """"), 0)), ""Y"", """"))"),"")</f>
        <v/>
      </c>
      <c r="AR29" s="92" t="str">
        <f>IFERROR(__xludf.DUMMYFUNCTION("IF(OR($A29="""", AR$5=""""), """", IF(ISNUMBER(MATCH(AR$5, IFERROR(FILTER('MASTER LIST'!$N$2:$AB$294, 'MASTER LIST'!$A$2:$A$294=$A29), """"), 0)), ""Y"", """"))"),"")</f>
        <v/>
      </c>
      <c r="AS29" s="92" t="str">
        <f>IFERROR(__xludf.DUMMYFUNCTION("IF(OR($A29="""", AS$5=""""), """", IF(ISNUMBER(MATCH(AS$5, IFERROR(FILTER('MASTER LIST'!$N$2:$AB$294, 'MASTER LIST'!$A$2:$A$294=$A29), """"), 0)), ""Y"", """"))"),"")</f>
        <v/>
      </c>
      <c r="AT29" s="92" t="str">
        <f>IFERROR(__xludf.DUMMYFUNCTION("IF(OR($A29="""", AT$5=""""), """", IF(ISNUMBER(MATCH(AT$5, IFERROR(FILTER('MASTER LIST'!$N$2:$AB$294, 'MASTER LIST'!$A$2:$A$294=$A29), """"), 0)), ""Y"", """"))"),"")</f>
        <v/>
      </c>
      <c r="AU29" s="92" t="str">
        <f>IFERROR(__xludf.DUMMYFUNCTION("IF(OR($A29="""", AU$5=""""), """", IF(ISNUMBER(MATCH(AU$5, IFERROR(FILTER('MASTER LIST'!$N$2:$AB$294, 'MASTER LIST'!$A$2:$A$294=$A29), """"), 0)), ""Y"", """"))"),"")</f>
        <v/>
      </c>
      <c r="AV29" s="92" t="str">
        <f>IFERROR(__xludf.DUMMYFUNCTION("IF(OR($A29="""", AV$5=""""), """", IF(ISNUMBER(MATCH(AV$5, IFERROR(FILTER('MASTER LIST'!$N$2:$AB$294, 'MASTER LIST'!$A$2:$A$294=$A29), """"), 0)), ""Y"", """"))"),"")</f>
        <v/>
      </c>
      <c r="AW29" s="92" t="str">
        <f>IFERROR(__xludf.DUMMYFUNCTION("IF(OR($A29="""", AW$5=""""), """", IF(ISNUMBER(MATCH(AW$5, IFERROR(FILTER('MASTER LIST'!$N$2:$AB$294, 'MASTER LIST'!$A$2:$A$294=$A29), """"), 0)), ""Y"", """"))"),"")</f>
        <v/>
      </c>
      <c r="AX29" s="92" t="str">
        <f>IFERROR(__xludf.DUMMYFUNCTION("IF(OR($A29="""", AX$5=""""), """", IF(ISNUMBER(MATCH(AX$5, IFERROR(FILTER('MASTER LIST'!$N$2:$AB$294, 'MASTER LIST'!$A$2:$A$294=$A29), """"), 0)), ""Y"", """"))"),"")</f>
        <v/>
      </c>
      <c r="AY29" s="92" t="str">
        <f>IFERROR(__xludf.DUMMYFUNCTION("IF(OR($A29="""", AY$5=""""), """", IF(ISNUMBER(MATCH(AY$5, IFERROR(FILTER('MASTER LIST'!$N$2:$AB$294, 'MASTER LIST'!$A$2:$A$294=$A29), """"), 0)), ""Y"", """"))"),"")</f>
        <v/>
      </c>
      <c r="AZ29" s="92" t="str">
        <f>IFERROR(__xludf.DUMMYFUNCTION("IF(OR($A29="""", AZ$5=""""), """", IF(ISNUMBER(MATCH(AZ$5, IFERROR(FILTER('MASTER LIST'!$N$2:$AB$294, 'MASTER LIST'!$A$2:$A$294=$A29), """"), 0)), ""Y"", """"))"),"")</f>
        <v/>
      </c>
      <c r="BA29" s="92" t="str">
        <f>IFERROR(__xludf.DUMMYFUNCTION("IF(OR($A29="""", BA$5=""""), """", IF(ISNUMBER(MATCH(BA$5, IFERROR(FILTER('MASTER LIST'!$N$2:$AB$294, 'MASTER LIST'!$A$2:$A$294=$A29), """"), 0)), ""Y"", """"))"),"")</f>
        <v/>
      </c>
      <c r="BB29" s="92" t="str">
        <f>IFERROR(__xludf.DUMMYFUNCTION("IF(OR($A29="""", BB$5=""""), """", IF(ISNUMBER(MATCH(BB$5, IFERROR(FILTER('MASTER LIST'!$N$2:$AB$294, 'MASTER LIST'!$A$2:$A$294=$A29), """"), 0)), ""Y"", """"))"),"")</f>
        <v/>
      </c>
      <c r="BC29" s="92" t="str">
        <f>IFERROR(__xludf.DUMMYFUNCTION("IF(OR($A29="""", BC$5=""""), """", IF(ISNUMBER(MATCH(BC$5, IFERROR(FILTER('MASTER LIST'!$N$2:$AB$294, 'MASTER LIST'!$A$2:$A$294=$A29), """"), 0)), ""Y"", """"))"),"")</f>
        <v/>
      </c>
      <c r="BD29" s="92" t="str">
        <f>IFERROR(__xludf.DUMMYFUNCTION("IF(OR($A29="""", BD$5=""""), """", IF(ISNUMBER(MATCH(BD$5, IFERROR(FILTER('MASTER LIST'!$N$2:$AB$294, 'MASTER LIST'!$A$2:$A$294=$A29), """"), 0)), ""Y"", """"))"),"")</f>
        <v/>
      </c>
      <c r="BE29" s="92" t="str">
        <f>IFERROR(__xludf.DUMMYFUNCTION("IF(OR($A29="""", BE$5=""""), """", IF(ISNUMBER(MATCH(BE$5, IFERROR(FILTER('MASTER LIST'!$N$2:$AB$294, 'MASTER LIST'!$A$2:$A$294=$A29), """"), 0)), ""Y"", """"))"),"")</f>
        <v/>
      </c>
      <c r="BF29" s="92" t="str">
        <f>IFERROR(__xludf.DUMMYFUNCTION("IF(OR($A29="""", BF$5=""""), """", IF(ISNUMBER(MATCH(BF$5, IFERROR(FILTER('MASTER LIST'!$N$2:$AB$294, 'MASTER LIST'!$A$2:$A$294=$A29), """"), 0)), ""Y"", """"))"),"")</f>
        <v/>
      </c>
      <c r="BG29" s="92" t="str">
        <f>IFERROR(__xludf.DUMMYFUNCTION("IF(OR($A29="""", BG$5=""""), """", IF(ISNUMBER(MATCH(BG$5, IFERROR(FILTER('MASTER LIST'!$N$2:$AB$294, 'MASTER LIST'!$A$2:$A$294=$A29), """"), 0)), ""Y"", """"))"),"")</f>
        <v/>
      </c>
      <c r="BH29" s="92" t="str">
        <f>IFERROR(__xludf.DUMMYFUNCTION("IF(OR($A29="""", BH$5=""""), """", IF(ISNUMBER(MATCH(BH$5, IFERROR(FILTER('MASTER LIST'!$N$2:$AB$294, 'MASTER LIST'!$A$2:$A$294=$A29), """"), 0)), ""Y"", """"))"),"")</f>
        <v/>
      </c>
      <c r="BI29" s="92" t="str">
        <f>IFERROR(__xludf.DUMMYFUNCTION("IF(OR($A29="""", BI$5=""""), """", IF(ISNUMBER(MATCH(BI$5, IFERROR(FILTER('MASTER LIST'!$N$2:$AB$294, 'MASTER LIST'!$A$2:$A$294=$A29), """"), 0)), ""Y"", """"))"),"")</f>
        <v/>
      </c>
      <c r="BJ29" s="92" t="str">
        <f>IFERROR(__xludf.DUMMYFUNCTION("IF(OR($A29="""", BJ$5=""""), """", IF(ISNUMBER(MATCH(BJ$5, IFERROR(FILTER('MASTER LIST'!$N$2:$AB$294, 'MASTER LIST'!$A$2:$A$294=$A29), """"), 0)), ""Y"", """"))"),"")</f>
        <v/>
      </c>
      <c r="BK29" s="92" t="str">
        <f>IFERROR(__xludf.DUMMYFUNCTION("IF(OR($A29="""", BK$5=""""), """", IF(ISNUMBER(MATCH(BK$5, IFERROR(FILTER('MASTER LIST'!$N$2:$AB$294, 'MASTER LIST'!$A$2:$A$294=$A29), """"), 0)), ""Y"", """"))"),"")</f>
        <v/>
      </c>
      <c r="BL29" s="92" t="str">
        <f>IFERROR(__xludf.DUMMYFUNCTION("IF(OR($A29="""", BL$5=""""), """", IF(ISNUMBER(MATCH(BL$5, IFERROR(FILTER('MASTER LIST'!$N$2:$AB$294, 'MASTER LIST'!$A$2:$A$294=$A29), """"), 0)), ""Y"", """"))"),"")</f>
        <v/>
      </c>
      <c r="BM29" s="92" t="str">
        <f>IFERROR(__xludf.DUMMYFUNCTION("IF(OR($A29="""", BM$5=""""), """", IF(ISNUMBER(MATCH(BM$5, IFERROR(FILTER('MASTER LIST'!$N$2:$AB$294, 'MASTER LIST'!$A$2:$A$294=$A29), """"), 0)), ""Y"", """"))"),"")</f>
        <v/>
      </c>
      <c r="BN29" s="92" t="str">
        <f>IFERROR(__xludf.DUMMYFUNCTION("IF(OR($A29="""", BN$5=""""), """", IF(ISNUMBER(MATCH(BN$5, IFERROR(FILTER('MASTER LIST'!$N$2:$AB$294, 'MASTER LIST'!$A$2:$A$294=$A29), """"), 0)), ""Y"", """"))"),"")</f>
        <v/>
      </c>
      <c r="BO29" s="92" t="str">
        <f>IFERROR(__xludf.DUMMYFUNCTION("IF(OR($A29="""", BO$5=""""), """", IF(ISNUMBER(MATCH(BO$5, IFERROR(FILTER('MASTER LIST'!$N$2:$AB$294, 'MASTER LIST'!$A$2:$A$294=$A29), """"), 0)), ""Y"", """"))"),"")</f>
        <v/>
      </c>
      <c r="BP29" s="92" t="str">
        <f>IFERROR(__xludf.DUMMYFUNCTION("IF(OR($A29="""", BP$5=""""), """", IF(ISNUMBER(MATCH(BP$5, IFERROR(FILTER('MASTER LIST'!$N$2:$AB$294, 'MASTER LIST'!$A$2:$A$294=$A29), """"), 0)), ""Y"", """"))"),"")</f>
        <v/>
      </c>
      <c r="BQ29" s="92" t="str">
        <f>IFERROR(__xludf.DUMMYFUNCTION("IF(OR($A29="""", BQ$5=""""), """", IF(ISNUMBER(MATCH(BQ$5, IFERROR(FILTER('MASTER LIST'!$N$2:$AB$294, 'MASTER LIST'!$A$2:$A$294=$A29), """"), 0)), ""Y"", """"))"),"")</f>
        <v/>
      </c>
      <c r="BR29" s="92" t="str">
        <f>IFERROR(__xludf.DUMMYFUNCTION("IF(OR($A29="""", BR$5=""""), """", IF(ISNUMBER(MATCH(BR$5, IFERROR(FILTER('MASTER LIST'!$N$2:$AB$294, 'MASTER LIST'!$A$2:$A$294=$A29), """"), 0)), ""Y"", """"))"),"")</f>
        <v/>
      </c>
      <c r="BS29" s="92" t="str">
        <f>IFERROR(__xludf.DUMMYFUNCTION("IF(OR($A29="""", BS$5=""""), """", IF(ISNUMBER(MATCH(BS$5, IFERROR(FILTER('MASTER LIST'!$N$2:$AB$294, 'MASTER LIST'!$A$2:$A$294=$A29), """"), 0)), ""Y"", """"))"),"")</f>
        <v/>
      </c>
      <c r="BT29" s="92" t="str">
        <f>IFERROR(__xludf.DUMMYFUNCTION("IF(OR($A29="""", BT$5=""""), """", IF(ISNUMBER(MATCH(BT$5, IFERROR(FILTER('MASTER LIST'!$N$2:$AB$294, 'MASTER LIST'!$A$2:$A$294=$A29), """"), 0)), ""Y"", """"))"),"")</f>
        <v/>
      </c>
      <c r="BU29" s="92" t="str">
        <f>IFERROR(__xludf.DUMMYFUNCTION("IF(OR($A29="""", BU$5=""""), """", IF(ISNUMBER(MATCH(BU$5, IFERROR(FILTER('MASTER LIST'!$N$2:$AB$294, 'MASTER LIST'!$A$2:$A$294=$A29), """"), 0)), ""Y"", """"))"),"")</f>
        <v/>
      </c>
      <c r="BV29" s="92" t="str">
        <f>IFERROR(__xludf.DUMMYFUNCTION("IF(OR($A29="""", BV$5=""""), """", IF(ISNUMBER(MATCH(BV$5, IFERROR(FILTER('MASTER LIST'!$N$2:$AB$294, 'MASTER LIST'!$A$2:$A$294=$A29), """"), 0)), ""Y"", """"))"),"")</f>
        <v/>
      </c>
      <c r="BW29" s="92" t="str">
        <f>IFERROR(__xludf.DUMMYFUNCTION("IF(OR($A29="""", BW$5=""""), """", IF(ISNUMBER(MATCH(BW$5, IFERROR(FILTER('MASTER LIST'!$N$2:$AB$294, 'MASTER LIST'!$A$2:$A$294=$A29), """"), 0)), ""Y"", """"))"),"")</f>
        <v/>
      </c>
      <c r="BX29" s="92" t="str">
        <f>IFERROR(__xludf.DUMMYFUNCTION("IF(OR($A29="""", BX$5=""""), """", IF(ISNUMBER(MATCH(BX$5, IFERROR(FILTER('MASTER LIST'!$N$2:$AB$294, 'MASTER LIST'!$A$2:$A$294=$A29), """"), 0)), ""Y"", """"))"),"")</f>
        <v/>
      </c>
      <c r="BY29" s="92" t="str">
        <f>IFERROR(__xludf.DUMMYFUNCTION("IF(OR($A29="""", BY$5=""""), """", IF(ISNUMBER(MATCH(BY$5, IFERROR(FILTER('MASTER LIST'!$N$2:$AB$294, 'MASTER LIST'!$A$2:$A$294=$A29), """"), 0)), ""Y"", """"))"),"")</f>
        <v/>
      </c>
      <c r="BZ29" s="92" t="str">
        <f>IFERROR(__xludf.DUMMYFUNCTION("IF(OR($A29="""", BZ$5=""""), """", IF(ISNUMBER(MATCH(BZ$5, IFERROR(FILTER('MASTER LIST'!$N$2:$AB$294, 'MASTER LIST'!$A$2:$A$294=$A29), """"), 0)), ""Y"", """"))"),"")</f>
        <v/>
      </c>
      <c r="CA29" s="92" t="str">
        <f>IFERROR(__xludf.DUMMYFUNCTION("IF(OR($A29="""", CA$5=""""), """", IF(ISNUMBER(MATCH(CA$5, IFERROR(FILTER('MASTER LIST'!$N$2:$AB$294, 'MASTER LIST'!$A$2:$A$294=$A29), """"), 0)), ""Y"", """"))"),"")</f>
        <v/>
      </c>
      <c r="CB29" s="92" t="str">
        <f>IFERROR(__xludf.DUMMYFUNCTION("IF(OR($A29="""", CB$5=""""), """", IF(ISNUMBER(MATCH(CB$5, IFERROR(FILTER('MASTER LIST'!$N$2:$AB$294, 'MASTER LIST'!$A$2:$A$294=$A29), """"), 0)), ""Y"", """"))"),"")</f>
        <v/>
      </c>
      <c r="CC29" s="92"/>
      <c r="CD29" s="92"/>
      <c r="CE29" s="92"/>
      <c r="CF29" s="92"/>
      <c r="CG29" s="92"/>
      <c r="CH29" s="92"/>
      <c r="CI29" s="92"/>
      <c r="CJ29" s="92"/>
      <c r="CK29" s="92"/>
    </row>
    <row r="30">
      <c r="A30" s="75"/>
      <c r="B30" s="75"/>
      <c r="C30" s="75"/>
      <c r="D30" s="75"/>
      <c r="E30" s="75"/>
      <c r="F30" s="75"/>
      <c r="G30" s="92" t="str">
        <f>IFERROR(__xludf.DUMMYFUNCTION("IF(OR($A30="""", G$5=""""), """", IF(ISNUMBER(MATCH(G$5, IFERROR(FILTER('MASTER LIST'!$N$2:$AB$294, 'MASTER LIST'!$A$2:$A$294=$A30), """"), 0)), ""Y"", """"))"),"")</f>
        <v/>
      </c>
      <c r="H30" s="92" t="str">
        <f>IFERROR(__xludf.DUMMYFUNCTION("IF(OR($A30="""", H$5=""""), """", IF(ISNUMBER(MATCH(H$5, IFERROR(FILTER('MASTER LIST'!$N$2:$AB$294, 'MASTER LIST'!$A$2:$A$294=$A30), """"), 0)), ""Y"", """"))"),"")</f>
        <v/>
      </c>
      <c r="I30" s="92" t="str">
        <f>IFERROR(__xludf.DUMMYFUNCTION("IF(OR($A30="""", I$5=""""), """", IF(ISNUMBER(MATCH(I$5, IFERROR(FILTER('MASTER LIST'!$N$2:$AB$294, 'MASTER LIST'!$A$2:$A$294=$A30), """"), 0)), ""Y"", """"))"),"")</f>
        <v/>
      </c>
      <c r="J30" s="92" t="str">
        <f>IFERROR(__xludf.DUMMYFUNCTION("IF(OR($A30="""", J$5=""""), """", IF(ISNUMBER(MATCH(J$5, IFERROR(FILTER('MASTER LIST'!$N$2:$W$294, 'MASTER LIST'!$A$2:$A$294=$A30), """"), 0)), ""Y"", """"))"),"")</f>
        <v/>
      </c>
      <c r="K30" s="92" t="str">
        <f>IFERROR(__xludf.DUMMYFUNCTION("IF(OR($A30="""", K$5=""""), """", IF(ISNUMBER(MATCH(K$5, IFERROR(FILTER('MASTER LIST'!$N$2:$AB$294, 'MASTER LIST'!$A$2:$A$294=$A30), """"), 0)), ""Y"", """"))"),"")</f>
        <v/>
      </c>
      <c r="L30" s="92" t="str">
        <f>IFERROR(__xludf.DUMMYFUNCTION("IF(OR($A30="""", L$5=""""), """", IF(ISNUMBER(MATCH(L$5, IFERROR(FILTER('MASTER LIST'!$N$2:$AB$294, 'MASTER LIST'!$A$2:$A$294=$A30), """"), 0)), ""Y"", """"))"),"")</f>
        <v/>
      </c>
      <c r="M30" s="92" t="str">
        <f>IFERROR(__xludf.DUMMYFUNCTION("IF(OR($A30="""", M$5=""""), """", IF(ISNUMBER(MATCH(M$5, IFERROR(FILTER('MASTER LIST'!$N$2:$AB$294, 'MASTER LIST'!$A$2:$A$294=$A30), """"), 0)), ""Y"", """"))"),"")</f>
        <v/>
      </c>
      <c r="N30" s="92" t="str">
        <f>IFERROR(__xludf.DUMMYFUNCTION("IF(OR($A30="""", N$5=""""), """", IF(ISNUMBER(MATCH(N$5, IFERROR(FILTER('MASTER LIST'!$N$2:$AB$294, 'MASTER LIST'!$A$2:$A$294=$A30), """"), 0)), ""Y"", """"))"),"")</f>
        <v/>
      </c>
      <c r="O30" s="92" t="str">
        <f>IFERROR(__xludf.DUMMYFUNCTION("IF(OR($A30="""", O$5=""""), """", IF(ISNUMBER(MATCH(O$5, IFERROR(FILTER('MASTER LIST'!$N$2:$AB$294, 'MASTER LIST'!$A$2:$A$294=$A30), """"), 0)), ""Y"", """"))"),"")</f>
        <v/>
      </c>
      <c r="P30" s="92" t="str">
        <f>IFERROR(__xludf.DUMMYFUNCTION("IF(OR($A30="""", P$5=""""), """", IF(ISNUMBER(MATCH(P$5, IFERROR(FILTER('MASTER LIST'!$N$2:$AB$294, 'MASTER LIST'!$A$2:$A$294=$A30), """"), 0)), ""Y"", """"))"),"")</f>
        <v/>
      </c>
      <c r="Q30" s="92" t="str">
        <f>IFERROR(__xludf.DUMMYFUNCTION("IF(OR($A30="""", Q$5=""""), """", IF(ISNUMBER(MATCH(Q$5, IFERROR(FILTER('MASTER LIST'!$N$2:$AB$294, 'MASTER LIST'!$A$2:$A$294=$A30), """"), 0)), ""Y"", """"))"),"")</f>
        <v/>
      </c>
      <c r="R30" s="92" t="str">
        <f>IFERROR(__xludf.DUMMYFUNCTION("IF(OR($A30="""", R$5=""""), """", IF(ISNUMBER(MATCH(R$5, IFERROR(FILTER('MASTER LIST'!$N$2:$AB$294, 'MASTER LIST'!$A$2:$A$294=$A30), """"), 0)), ""Y"", """"))"),"")</f>
        <v/>
      </c>
      <c r="S30" s="92" t="str">
        <f>IFERROR(__xludf.DUMMYFUNCTION("IF(OR($A30="""", S$5=""""), """", IF(ISNUMBER(MATCH(S$5, IFERROR(FILTER('MASTER LIST'!$N$2:$AB$294, 'MASTER LIST'!$A$2:$A$294=$A30), """"), 0)), ""Y"", """"))"),"")</f>
        <v/>
      </c>
      <c r="T30" s="92" t="str">
        <f>IFERROR(__xludf.DUMMYFUNCTION("IF(OR($A30="""", T$5=""""), """", IF(ISNUMBER(MATCH(T$5, IFERROR(FILTER('MASTER LIST'!$N$2:$AB$294, 'MASTER LIST'!$A$2:$A$294=$A30), """"), 0)), ""Y"", """"))"),"")</f>
        <v/>
      </c>
      <c r="U30" s="92" t="str">
        <f>IFERROR(__xludf.DUMMYFUNCTION("IF(OR($A30="""", U$5=""""), """", IF(ISNUMBER(MATCH(U$5, IFERROR(FILTER('MASTER LIST'!$N$2:$AB$294, 'MASTER LIST'!$A$2:$A$294=$A30), """"), 0)), ""Y"", """"))"),"")</f>
        <v/>
      </c>
      <c r="V30" s="92" t="str">
        <f>IFERROR(__xludf.DUMMYFUNCTION("IF(OR($A30="""", V$5=""""), """", IF(ISNUMBER(MATCH(V$5, IFERROR(FILTER('MASTER LIST'!$N$2:$AB$294, 'MASTER LIST'!$A$2:$A$294=$A30), """"), 0)), ""Y"", """"))"),"")</f>
        <v/>
      </c>
      <c r="W30" s="92" t="str">
        <f>IFERROR(__xludf.DUMMYFUNCTION("IF(OR($A30="""", W$5=""""), """", IF(ISNUMBER(MATCH(W$5, IFERROR(FILTER('MASTER LIST'!$N$2:$AB$294, 'MASTER LIST'!$A$2:$A$294=$A30), """"), 0)), ""Y"", """"))"),"")</f>
        <v/>
      </c>
      <c r="X30" s="92" t="str">
        <f>IFERROR(__xludf.DUMMYFUNCTION("IF(OR($A30="""", X$5=""""), """", IF(ISNUMBER(MATCH(X$5, IFERROR(FILTER('MASTER LIST'!$N$2:$AB$294, 'MASTER LIST'!$A$2:$A$294=$A30), """"), 0)), ""Y"", """"))"),"")</f>
        <v/>
      </c>
      <c r="Y30" s="92" t="str">
        <f>IFERROR(__xludf.DUMMYFUNCTION("IF(OR($A30="""", Y$5=""""), """", IF(ISNUMBER(MATCH(Y$5, IFERROR(FILTER('MASTER LIST'!$N$2:$AB$294, 'MASTER LIST'!$A$2:$A$294=$A30), """"), 0)), ""Y"", """"))"),"")</f>
        <v/>
      </c>
      <c r="Z30" s="92" t="str">
        <f>IFERROR(__xludf.DUMMYFUNCTION("IF(OR($A30="""", Z$5=""""), """", IF(ISNUMBER(MATCH(Z$5, IFERROR(FILTER('MASTER LIST'!$N$2:$AB$294, 'MASTER LIST'!$A$2:$A$294=$A30), """"), 0)), ""Y"", """"))"),"")</f>
        <v/>
      </c>
      <c r="AA30" s="92" t="str">
        <f>IFERROR(__xludf.DUMMYFUNCTION("IF(OR($A30="""", AA$5=""""), """", IF(ISNUMBER(MATCH(AA$5, IFERROR(FILTER('MASTER LIST'!$N$2:$AB$294, 'MASTER LIST'!$A$2:$A$294=$A30), """"), 0)), ""Y"", """"))"),"")</f>
        <v/>
      </c>
      <c r="AB30" s="92" t="str">
        <f>IFERROR(__xludf.DUMMYFUNCTION("IF(OR($A30="""", AB$5=""""), """", IF(ISNUMBER(MATCH(AB$5, IFERROR(FILTER('MASTER LIST'!$N$2:$AB$294, 'MASTER LIST'!$A$2:$A$294=$A30), """"), 0)), ""Y"", """"))"),"")</f>
        <v/>
      </c>
      <c r="AC30" s="92" t="str">
        <f>IFERROR(__xludf.DUMMYFUNCTION("IF(OR($A30="""", AC$5=""""), """", IF(ISNUMBER(MATCH(AC$5, IFERROR(FILTER('MASTER LIST'!$N$2:$AB$294, 'MASTER LIST'!$A$2:$A$294=$A30), """"), 0)), ""Y"", """"))"),"")</f>
        <v/>
      </c>
      <c r="AD30" s="92" t="str">
        <f>IFERROR(__xludf.DUMMYFUNCTION("IF(OR($A30="""", AD$5=""""), """", IF(ISNUMBER(MATCH(AD$5, IFERROR(FILTER('MASTER LIST'!$N$2:$AB$294, 'MASTER LIST'!$A$2:$A$294=$A30), """"), 0)), ""Y"", """"))"),"")</f>
        <v/>
      </c>
      <c r="AE30" s="92" t="str">
        <f>IFERROR(__xludf.DUMMYFUNCTION("IF(OR($A30="""", AE$5=""""), """", IF(ISNUMBER(MATCH(AE$5, IFERROR(FILTER('MASTER LIST'!$N$2:$AB$294, 'MASTER LIST'!$A$2:$A$294=$A30), """"), 0)), ""Y"", """"))"),"")</f>
        <v/>
      </c>
      <c r="AF30" s="92" t="str">
        <f>IFERROR(__xludf.DUMMYFUNCTION("IF(OR($A30="""", AF$5=""""), """", IF(ISNUMBER(MATCH(AF$5, IFERROR(FILTER('MASTER LIST'!$N$2:$AB$294, 'MASTER LIST'!$A$2:$A$294=$A30), """"), 0)), ""Y"", """"))"),"")</f>
        <v/>
      </c>
      <c r="AG30" s="92" t="str">
        <f>IFERROR(__xludf.DUMMYFUNCTION("IF(OR($A30="""", AG$5=""""), """", IF(ISNUMBER(MATCH(AG$5, IFERROR(FILTER('MASTER LIST'!$N$2:$AB$294, 'MASTER LIST'!$A$2:$A$294=$A30), """"), 0)), ""Y"", """"))"),"")</f>
        <v/>
      </c>
      <c r="AH30" s="92" t="str">
        <f>IFERROR(__xludf.DUMMYFUNCTION("IF(OR($A30="""", AH$5=""""), """", IF(ISNUMBER(MATCH(AH$5, IFERROR(FILTER('MASTER LIST'!$N$2:$AB$294, 'MASTER LIST'!$A$2:$A$294=$A30), """"), 0)), ""Y"", """"))"),"")</f>
        <v/>
      </c>
      <c r="AI30" s="92" t="str">
        <f>IFERROR(__xludf.DUMMYFUNCTION("IF(OR($A30="""", AI$5=""""), """", IF(ISNUMBER(MATCH(AI$5, IFERROR(FILTER('MASTER LIST'!$N$2:$AB$294, 'MASTER LIST'!$A$2:$A$294=$A30), """"), 0)), ""Y"", """"))"),"")</f>
        <v/>
      </c>
      <c r="AJ30" s="92" t="str">
        <f>IFERROR(__xludf.DUMMYFUNCTION("IF(OR($A30="""", AJ$5=""""), """", IF(ISNUMBER(MATCH(AJ$5, IFERROR(FILTER('MASTER LIST'!$N$2:$AB$294, 'MASTER LIST'!$A$2:$A$294=$A30), """"), 0)), ""Y"", """"))"),"")</f>
        <v/>
      </c>
      <c r="AK30" s="92" t="str">
        <f>IFERROR(__xludf.DUMMYFUNCTION("IF(OR($A30="""", AK$5=""""), """", IF(ISNUMBER(MATCH(AK$5, IFERROR(FILTER('MASTER LIST'!$N$2:$AB$294, 'MASTER LIST'!$A$2:$A$294=$A30), """"), 0)), ""Y"", """"))"),"")</f>
        <v/>
      </c>
      <c r="AL30" s="92" t="str">
        <f>IFERROR(__xludf.DUMMYFUNCTION("IF(OR($A30="""", AL$5=""""), """", IF(ISNUMBER(MATCH(AL$5, IFERROR(FILTER('MASTER LIST'!$N$2:$AB$294, 'MASTER LIST'!$A$2:$A$294=$A30), """"), 0)), ""Y"", """"))"),"")</f>
        <v/>
      </c>
      <c r="AM30" s="92" t="str">
        <f>IFERROR(__xludf.DUMMYFUNCTION("IF(OR($A30="""", AM$5=""""), """", IF(ISNUMBER(MATCH(AM$5, IFERROR(FILTER('MASTER LIST'!$N$2:$AB$294, 'MASTER LIST'!$A$2:$A$294=$A30), """"), 0)), ""Y"", """"))"),"")</f>
        <v/>
      </c>
      <c r="AN30" s="92" t="str">
        <f>IFERROR(__xludf.DUMMYFUNCTION("IF(OR($A30="""", AN$5=""""), """", IF(ISNUMBER(MATCH(AN$5, IFERROR(FILTER('MASTER LIST'!$N$2:$AB$294, 'MASTER LIST'!$A$2:$A$294=$A30), """"), 0)), ""Y"", """"))"),"")</f>
        <v/>
      </c>
      <c r="AO30" s="92" t="str">
        <f>IFERROR(__xludf.DUMMYFUNCTION("IF(OR($A30="""", AO$5=""""), """", IF(ISNUMBER(MATCH(AO$5, IFERROR(FILTER('MASTER LIST'!$N$2:$AB$294, 'MASTER LIST'!$A$2:$A$294=$A30), """"), 0)), ""Y"", """"))"),"")</f>
        <v/>
      </c>
      <c r="AP30" s="92" t="str">
        <f>IFERROR(__xludf.DUMMYFUNCTION("IF(OR($A30="""", AP$5=""""), """", IF(ISNUMBER(MATCH(AP$5, IFERROR(FILTER('MASTER LIST'!$N$2:$AB$294, 'MASTER LIST'!$A$2:$A$294=$A30), """"), 0)), ""Y"", """"))"),"")</f>
        <v/>
      </c>
      <c r="AQ30" s="92" t="str">
        <f>IFERROR(__xludf.DUMMYFUNCTION("IF(OR($A30="""", AQ$5=""""), """", IF(ISNUMBER(MATCH(AQ$5, IFERROR(FILTER('MASTER LIST'!$N$2:$AB$294, 'MASTER LIST'!$A$2:$A$294=$A30), """"), 0)), ""Y"", """"))"),"")</f>
        <v/>
      </c>
      <c r="AR30" s="92" t="str">
        <f>IFERROR(__xludf.DUMMYFUNCTION("IF(OR($A30="""", AR$5=""""), """", IF(ISNUMBER(MATCH(AR$5, IFERROR(FILTER('MASTER LIST'!$N$2:$AB$294, 'MASTER LIST'!$A$2:$A$294=$A30), """"), 0)), ""Y"", """"))"),"")</f>
        <v/>
      </c>
      <c r="AS30" s="92" t="str">
        <f>IFERROR(__xludf.DUMMYFUNCTION("IF(OR($A30="""", AS$5=""""), """", IF(ISNUMBER(MATCH(AS$5, IFERROR(FILTER('MASTER LIST'!$N$2:$AB$294, 'MASTER LIST'!$A$2:$A$294=$A30), """"), 0)), ""Y"", """"))"),"")</f>
        <v/>
      </c>
      <c r="AT30" s="92" t="str">
        <f>IFERROR(__xludf.DUMMYFUNCTION("IF(OR($A30="""", AT$5=""""), """", IF(ISNUMBER(MATCH(AT$5, IFERROR(FILTER('MASTER LIST'!$N$2:$AB$294, 'MASTER LIST'!$A$2:$A$294=$A30), """"), 0)), ""Y"", """"))"),"")</f>
        <v/>
      </c>
      <c r="AU30" s="92" t="str">
        <f>IFERROR(__xludf.DUMMYFUNCTION("IF(OR($A30="""", AU$5=""""), """", IF(ISNUMBER(MATCH(AU$5, IFERROR(FILTER('MASTER LIST'!$N$2:$AB$294, 'MASTER LIST'!$A$2:$A$294=$A30), """"), 0)), ""Y"", """"))"),"")</f>
        <v/>
      </c>
      <c r="AV30" s="92" t="str">
        <f>IFERROR(__xludf.DUMMYFUNCTION("IF(OR($A30="""", AV$5=""""), """", IF(ISNUMBER(MATCH(AV$5, IFERROR(FILTER('MASTER LIST'!$N$2:$AB$294, 'MASTER LIST'!$A$2:$A$294=$A30), """"), 0)), ""Y"", """"))"),"")</f>
        <v/>
      </c>
      <c r="AW30" s="92" t="str">
        <f>IFERROR(__xludf.DUMMYFUNCTION("IF(OR($A30="""", AW$5=""""), """", IF(ISNUMBER(MATCH(AW$5, IFERROR(FILTER('MASTER LIST'!$N$2:$AB$294, 'MASTER LIST'!$A$2:$A$294=$A30), """"), 0)), ""Y"", """"))"),"")</f>
        <v/>
      </c>
      <c r="AX30" s="92" t="str">
        <f>IFERROR(__xludf.DUMMYFUNCTION("IF(OR($A30="""", AX$5=""""), """", IF(ISNUMBER(MATCH(AX$5, IFERROR(FILTER('MASTER LIST'!$N$2:$AB$294, 'MASTER LIST'!$A$2:$A$294=$A30), """"), 0)), ""Y"", """"))"),"")</f>
        <v/>
      </c>
      <c r="AY30" s="92" t="str">
        <f>IFERROR(__xludf.DUMMYFUNCTION("IF(OR($A30="""", AY$5=""""), """", IF(ISNUMBER(MATCH(AY$5, IFERROR(FILTER('MASTER LIST'!$N$2:$AB$294, 'MASTER LIST'!$A$2:$A$294=$A30), """"), 0)), ""Y"", """"))"),"")</f>
        <v/>
      </c>
      <c r="AZ30" s="92" t="str">
        <f>IFERROR(__xludf.DUMMYFUNCTION("IF(OR($A30="""", AZ$5=""""), """", IF(ISNUMBER(MATCH(AZ$5, IFERROR(FILTER('MASTER LIST'!$N$2:$AB$294, 'MASTER LIST'!$A$2:$A$294=$A30), """"), 0)), ""Y"", """"))"),"")</f>
        <v/>
      </c>
      <c r="BA30" s="92" t="str">
        <f>IFERROR(__xludf.DUMMYFUNCTION("IF(OR($A30="""", BA$5=""""), """", IF(ISNUMBER(MATCH(BA$5, IFERROR(FILTER('MASTER LIST'!$N$2:$AB$294, 'MASTER LIST'!$A$2:$A$294=$A30), """"), 0)), ""Y"", """"))"),"")</f>
        <v/>
      </c>
      <c r="BB30" s="92" t="str">
        <f>IFERROR(__xludf.DUMMYFUNCTION("IF(OR($A30="""", BB$5=""""), """", IF(ISNUMBER(MATCH(BB$5, IFERROR(FILTER('MASTER LIST'!$N$2:$AB$294, 'MASTER LIST'!$A$2:$A$294=$A30), """"), 0)), ""Y"", """"))"),"")</f>
        <v/>
      </c>
      <c r="BC30" s="92" t="str">
        <f>IFERROR(__xludf.DUMMYFUNCTION("IF(OR($A30="""", BC$5=""""), """", IF(ISNUMBER(MATCH(BC$5, IFERROR(FILTER('MASTER LIST'!$N$2:$AB$294, 'MASTER LIST'!$A$2:$A$294=$A30), """"), 0)), ""Y"", """"))"),"")</f>
        <v/>
      </c>
      <c r="BD30" s="92" t="str">
        <f>IFERROR(__xludf.DUMMYFUNCTION("IF(OR($A30="""", BD$5=""""), """", IF(ISNUMBER(MATCH(BD$5, IFERROR(FILTER('MASTER LIST'!$N$2:$AB$294, 'MASTER LIST'!$A$2:$A$294=$A30), """"), 0)), ""Y"", """"))"),"")</f>
        <v/>
      </c>
      <c r="BE30" s="92" t="str">
        <f>IFERROR(__xludf.DUMMYFUNCTION("IF(OR($A30="""", BE$5=""""), """", IF(ISNUMBER(MATCH(BE$5, IFERROR(FILTER('MASTER LIST'!$N$2:$AB$294, 'MASTER LIST'!$A$2:$A$294=$A30), """"), 0)), ""Y"", """"))"),"")</f>
        <v/>
      </c>
      <c r="BF30" s="92" t="str">
        <f>IFERROR(__xludf.DUMMYFUNCTION("IF(OR($A30="""", BF$5=""""), """", IF(ISNUMBER(MATCH(BF$5, IFERROR(FILTER('MASTER LIST'!$N$2:$AB$294, 'MASTER LIST'!$A$2:$A$294=$A30), """"), 0)), ""Y"", """"))"),"")</f>
        <v/>
      </c>
      <c r="BG30" s="92" t="str">
        <f>IFERROR(__xludf.DUMMYFUNCTION("IF(OR($A30="""", BG$5=""""), """", IF(ISNUMBER(MATCH(BG$5, IFERROR(FILTER('MASTER LIST'!$N$2:$AB$294, 'MASTER LIST'!$A$2:$A$294=$A30), """"), 0)), ""Y"", """"))"),"")</f>
        <v/>
      </c>
      <c r="BH30" s="92" t="str">
        <f>IFERROR(__xludf.DUMMYFUNCTION("IF(OR($A30="""", BH$5=""""), """", IF(ISNUMBER(MATCH(BH$5, IFERROR(FILTER('MASTER LIST'!$N$2:$AB$294, 'MASTER LIST'!$A$2:$A$294=$A30), """"), 0)), ""Y"", """"))"),"")</f>
        <v/>
      </c>
      <c r="BI30" s="92" t="str">
        <f>IFERROR(__xludf.DUMMYFUNCTION("IF(OR($A30="""", BI$5=""""), """", IF(ISNUMBER(MATCH(BI$5, IFERROR(FILTER('MASTER LIST'!$N$2:$AB$294, 'MASTER LIST'!$A$2:$A$294=$A30), """"), 0)), ""Y"", """"))"),"")</f>
        <v/>
      </c>
      <c r="BJ30" s="92" t="str">
        <f>IFERROR(__xludf.DUMMYFUNCTION("IF(OR($A30="""", BJ$5=""""), """", IF(ISNUMBER(MATCH(BJ$5, IFERROR(FILTER('MASTER LIST'!$N$2:$AB$294, 'MASTER LIST'!$A$2:$A$294=$A30), """"), 0)), ""Y"", """"))"),"")</f>
        <v/>
      </c>
      <c r="BK30" s="92" t="str">
        <f>IFERROR(__xludf.DUMMYFUNCTION("IF(OR($A30="""", BK$5=""""), """", IF(ISNUMBER(MATCH(BK$5, IFERROR(FILTER('MASTER LIST'!$N$2:$AB$294, 'MASTER LIST'!$A$2:$A$294=$A30), """"), 0)), ""Y"", """"))"),"")</f>
        <v/>
      </c>
      <c r="BL30" s="92" t="str">
        <f>IFERROR(__xludf.DUMMYFUNCTION("IF(OR($A30="""", BL$5=""""), """", IF(ISNUMBER(MATCH(BL$5, IFERROR(FILTER('MASTER LIST'!$N$2:$AB$294, 'MASTER LIST'!$A$2:$A$294=$A30), """"), 0)), ""Y"", """"))"),"")</f>
        <v/>
      </c>
      <c r="BM30" s="92" t="str">
        <f>IFERROR(__xludf.DUMMYFUNCTION("IF(OR($A30="""", BM$5=""""), """", IF(ISNUMBER(MATCH(BM$5, IFERROR(FILTER('MASTER LIST'!$N$2:$AB$294, 'MASTER LIST'!$A$2:$A$294=$A30), """"), 0)), ""Y"", """"))"),"")</f>
        <v/>
      </c>
      <c r="BN30" s="92" t="str">
        <f>IFERROR(__xludf.DUMMYFUNCTION("IF(OR($A30="""", BN$5=""""), """", IF(ISNUMBER(MATCH(BN$5, IFERROR(FILTER('MASTER LIST'!$N$2:$AB$294, 'MASTER LIST'!$A$2:$A$294=$A30), """"), 0)), ""Y"", """"))"),"")</f>
        <v/>
      </c>
      <c r="BO30" s="92" t="str">
        <f>IFERROR(__xludf.DUMMYFUNCTION("IF(OR($A30="""", BO$5=""""), """", IF(ISNUMBER(MATCH(BO$5, IFERROR(FILTER('MASTER LIST'!$N$2:$AB$294, 'MASTER LIST'!$A$2:$A$294=$A30), """"), 0)), ""Y"", """"))"),"")</f>
        <v/>
      </c>
      <c r="BP30" s="92" t="str">
        <f>IFERROR(__xludf.DUMMYFUNCTION("IF(OR($A30="""", BP$5=""""), """", IF(ISNUMBER(MATCH(BP$5, IFERROR(FILTER('MASTER LIST'!$N$2:$AB$294, 'MASTER LIST'!$A$2:$A$294=$A30), """"), 0)), ""Y"", """"))"),"")</f>
        <v/>
      </c>
      <c r="BQ30" s="92" t="str">
        <f>IFERROR(__xludf.DUMMYFUNCTION("IF(OR($A30="""", BQ$5=""""), """", IF(ISNUMBER(MATCH(BQ$5, IFERROR(FILTER('MASTER LIST'!$N$2:$AB$294, 'MASTER LIST'!$A$2:$A$294=$A30), """"), 0)), ""Y"", """"))"),"")</f>
        <v/>
      </c>
      <c r="BR30" s="92" t="str">
        <f>IFERROR(__xludf.DUMMYFUNCTION("IF(OR($A30="""", BR$5=""""), """", IF(ISNUMBER(MATCH(BR$5, IFERROR(FILTER('MASTER LIST'!$N$2:$AB$294, 'MASTER LIST'!$A$2:$A$294=$A30), """"), 0)), ""Y"", """"))"),"")</f>
        <v/>
      </c>
      <c r="BS30" s="92" t="str">
        <f>IFERROR(__xludf.DUMMYFUNCTION("IF(OR($A30="""", BS$5=""""), """", IF(ISNUMBER(MATCH(BS$5, IFERROR(FILTER('MASTER LIST'!$N$2:$AB$294, 'MASTER LIST'!$A$2:$A$294=$A30), """"), 0)), ""Y"", """"))"),"")</f>
        <v/>
      </c>
      <c r="BT30" s="92" t="str">
        <f>IFERROR(__xludf.DUMMYFUNCTION("IF(OR($A30="""", BT$5=""""), """", IF(ISNUMBER(MATCH(BT$5, IFERROR(FILTER('MASTER LIST'!$N$2:$AB$294, 'MASTER LIST'!$A$2:$A$294=$A30), """"), 0)), ""Y"", """"))"),"")</f>
        <v/>
      </c>
      <c r="BU30" s="92" t="str">
        <f>IFERROR(__xludf.DUMMYFUNCTION("IF(OR($A30="""", BU$5=""""), """", IF(ISNUMBER(MATCH(BU$5, IFERROR(FILTER('MASTER LIST'!$N$2:$AB$294, 'MASTER LIST'!$A$2:$A$294=$A30), """"), 0)), ""Y"", """"))"),"")</f>
        <v/>
      </c>
      <c r="BV30" s="92" t="str">
        <f>IFERROR(__xludf.DUMMYFUNCTION("IF(OR($A30="""", BV$5=""""), """", IF(ISNUMBER(MATCH(BV$5, IFERROR(FILTER('MASTER LIST'!$N$2:$AB$294, 'MASTER LIST'!$A$2:$A$294=$A30), """"), 0)), ""Y"", """"))"),"")</f>
        <v/>
      </c>
      <c r="BW30" s="92" t="str">
        <f>IFERROR(__xludf.DUMMYFUNCTION("IF(OR($A30="""", BW$5=""""), """", IF(ISNUMBER(MATCH(BW$5, IFERROR(FILTER('MASTER LIST'!$N$2:$AB$294, 'MASTER LIST'!$A$2:$A$294=$A30), """"), 0)), ""Y"", """"))"),"")</f>
        <v/>
      </c>
      <c r="BX30" s="92" t="str">
        <f>IFERROR(__xludf.DUMMYFUNCTION("IF(OR($A30="""", BX$5=""""), """", IF(ISNUMBER(MATCH(BX$5, IFERROR(FILTER('MASTER LIST'!$N$2:$AB$294, 'MASTER LIST'!$A$2:$A$294=$A30), """"), 0)), ""Y"", """"))"),"")</f>
        <v/>
      </c>
      <c r="BY30" s="92" t="str">
        <f>IFERROR(__xludf.DUMMYFUNCTION("IF(OR($A30="""", BY$5=""""), """", IF(ISNUMBER(MATCH(BY$5, IFERROR(FILTER('MASTER LIST'!$N$2:$AB$294, 'MASTER LIST'!$A$2:$A$294=$A30), """"), 0)), ""Y"", """"))"),"")</f>
        <v/>
      </c>
      <c r="BZ30" s="92" t="str">
        <f>IFERROR(__xludf.DUMMYFUNCTION("IF(OR($A30="""", BZ$5=""""), """", IF(ISNUMBER(MATCH(BZ$5, IFERROR(FILTER('MASTER LIST'!$N$2:$AB$294, 'MASTER LIST'!$A$2:$A$294=$A30), """"), 0)), ""Y"", """"))"),"")</f>
        <v/>
      </c>
      <c r="CA30" s="92" t="str">
        <f>IFERROR(__xludf.DUMMYFUNCTION("IF(OR($A30="""", CA$5=""""), """", IF(ISNUMBER(MATCH(CA$5, IFERROR(FILTER('MASTER LIST'!$N$2:$AB$294, 'MASTER LIST'!$A$2:$A$294=$A30), """"), 0)), ""Y"", """"))"),"")</f>
        <v/>
      </c>
      <c r="CB30" s="92" t="str">
        <f>IFERROR(__xludf.DUMMYFUNCTION("IF(OR($A30="""", CB$5=""""), """", IF(ISNUMBER(MATCH(CB$5, IFERROR(FILTER('MASTER LIST'!$N$2:$AB$294, 'MASTER LIST'!$A$2:$A$294=$A30), """"), 0)), ""Y"", """"))"),"")</f>
        <v/>
      </c>
      <c r="CC30" s="92"/>
      <c r="CD30" s="92"/>
      <c r="CE30" s="92"/>
      <c r="CF30" s="92"/>
      <c r="CG30" s="92"/>
      <c r="CH30" s="92"/>
      <c r="CI30" s="92"/>
      <c r="CJ30" s="92"/>
      <c r="CK30" s="92"/>
    </row>
    <row r="31">
      <c r="A31" s="75"/>
      <c r="B31" s="75"/>
      <c r="C31" s="75"/>
      <c r="D31" s="75"/>
      <c r="E31" s="75"/>
      <c r="F31" s="75"/>
      <c r="G31" s="92" t="str">
        <f>IFERROR(__xludf.DUMMYFUNCTION("IF(OR($A31="""", G$5=""""), """", IF(ISNUMBER(MATCH(G$5, IFERROR(FILTER('MASTER LIST'!$N$2:$AB$294, 'MASTER LIST'!$A$2:$A$294=$A31), """"), 0)), ""Y"", """"))"),"")</f>
        <v/>
      </c>
      <c r="H31" s="92" t="str">
        <f>IFERROR(__xludf.DUMMYFUNCTION("IF(OR($A31="""", H$5=""""), """", IF(ISNUMBER(MATCH(H$5, IFERROR(FILTER('MASTER LIST'!$N$2:$AB$294, 'MASTER LIST'!$A$2:$A$294=$A31), """"), 0)), ""Y"", """"))"),"")</f>
        <v/>
      </c>
      <c r="I31" s="92" t="str">
        <f>IFERROR(__xludf.DUMMYFUNCTION("IF(OR($A31="""", I$5=""""), """", IF(ISNUMBER(MATCH(I$5, IFERROR(FILTER('MASTER LIST'!$N$2:$AB$294, 'MASTER LIST'!$A$2:$A$294=$A31), """"), 0)), ""Y"", """"))"),"")</f>
        <v/>
      </c>
      <c r="J31" s="92" t="str">
        <f>IFERROR(__xludf.DUMMYFUNCTION("IF(OR($A31="""", J$5=""""), """", IF(ISNUMBER(MATCH(J$5, IFERROR(FILTER('MASTER LIST'!$N$2:$W$294, 'MASTER LIST'!$A$2:$A$294=$A31), """"), 0)), ""Y"", """"))"),"")</f>
        <v/>
      </c>
      <c r="K31" s="92" t="str">
        <f>IFERROR(__xludf.DUMMYFUNCTION("IF(OR($A31="""", K$5=""""), """", IF(ISNUMBER(MATCH(K$5, IFERROR(FILTER('MASTER LIST'!$N$2:$AB$294, 'MASTER LIST'!$A$2:$A$294=$A31), """"), 0)), ""Y"", """"))"),"")</f>
        <v/>
      </c>
      <c r="L31" s="92" t="str">
        <f>IFERROR(__xludf.DUMMYFUNCTION("IF(OR($A31="""", L$5=""""), """", IF(ISNUMBER(MATCH(L$5, IFERROR(FILTER('MASTER LIST'!$N$2:$AB$294, 'MASTER LIST'!$A$2:$A$294=$A31), """"), 0)), ""Y"", """"))"),"")</f>
        <v/>
      </c>
      <c r="M31" s="92" t="str">
        <f>IFERROR(__xludf.DUMMYFUNCTION("IF(OR($A31="""", M$5=""""), """", IF(ISNUMBER(MATCH(M$5, IFERROR(FILTER('MASTER LIST'!$N$2:$AB$294, 'MASTER LIST'!$A$2:$A$294=$A31), """"), 0)), ""Y"", """"))"),"")</f>
        <v/>
      </c>
      <c r="N31" s="92" t="str">
        <f>IFERROR(__xludf.DUMMYFUNCTION("IF(OR($A31="""", N$5=""""), """", IF(ISNUMBER(MATCH(N$5, IFERROR(FILTER('MASTER LIST'!$N$2:$AB$294, 'MASTER LIST'!$A$2:$A$294=$A31), """"), 0)), ""Y"", """"))"),"")</f>
        <v/>
      </c>
      <c r="O31" s="92" t="str">
        <f>IFERROR(__xludf.DUMMYFUNCTION("IF(OR($A31="""", O$5=""""), """", IF(ISNUMBER(MATCH(O$5, IFERROR(FILTER('MASTER LIST'!$N$2:$AB$294, 'MASTER LIST'!$A$2:$A$294=$A31), """"), 0)), ""Y"", """"))"),"")</f>
        <v/>
      </c>
      <c r="P31" s="92" t="str">
        <f>IFERROR(__xludf.DUMMYFUNCTION("IF(OR($A31="""", P$5=""""), """", IF(ISNUMBER(MATCH(P$5, IFERROR(FILTER('MASTER LIST'!$N$2:$AB$294, 'MASTER LIST'!$A$2:$A$294=$A31), """"), 0)), ""Y"", """"))"),"")</f>
        <v/>
      </c>
      <c r="Q31" s="92" t="str">
        <f>IFERROR(__xludf.DUMMYFUNCTION("IF(OR($A31="""", Q$5=""""), """", IF(ISNUMBER(MATCH(Q$5, IFERROR(FILTER('MASTER LIST'!$N$2:$AB$294, 'MASTER LIST'!$A$2:$A$294=$A31), """"), 0)), ""Y"", """"))"),"")</f>
        <v/>
      </c>
      <c r="R31" s="92" t="str">
        <f>IFERROR(__xludf.DUMMYFUNCTION("IF(OR($A31="""", R$5=""""), """", IF(ISNUMBER(MATCH(R$5, IFERROR(FILTER('MASTER LIST'!$N$2:$AB$294, 'MASTER LIST'!$A$2:$A$294=$A31), """"), 0)), ""Y"", """"))"),"")</f>
        <v/>
      </c>
      <c r="S31" s="92" t="str">
        <f>IFERROR(__xludf.DUMMYFUNCTION("IF(OR($A31="""", S$5=""""), """", IF(ISNUMBER(MATCH(S$5, IFERROR(FILTER('MASTER LIST'!$N$2:$AB$294, 'MASTER LIST'!$A$2:$A$294=$A31), """"), 0)), ""Y"", """"))"),"")</f>
        <v/>
      </c>
      <c r="T31" s="92" t="str">
        <f>IFERROR(__xludf.DUMMYFUNCTION("IF(OR($A31="""", T$5=""""), """", IF(ISNUMBER(MATCH(T$5, IFERROR(FILTER('MASTER LIST'!$N$2:$AB$294, 'MASTER LIST'!$A$2:$A$294=$A31), """"), 0)), ""Y"", """"))"),"")</f>
        <v/>
      </c>
      <c r="U31" s="92" t="str">
        <f>IFERROR(__xludf.DUMMYFUNCTION("IF(OR($A31="""", U$5=""""), """", IF(ISNUMBER(MATCH(U$5, IFERROR(FILTER('MASTER LIST'!$N$2:$AB$294, 'MASTER LIST'!$A$2:$A$294=$A31), """"), 0)), ""Y"", """"))"),"")</f>
        <v/>
      </c>
      <c r="V31" s="92" t="str">
        <f>IFERROR(__xludf.DUMMYFUNCTION("IF(OR($A31="""", V$5=""""), """", IF(ISNUMBER(MATCH(V$5, IFERROR(FILTER('MASTER LIST'!$N$2:$AB$294, 'MASTER LIST'!$A$2:$A$294=$A31), """"), 0)), ""Y"", """"))"),"")</f>
        <v/>
      </c>
      <c r="W31" s="92" t="str">
        <f>IFERROR(__xludf.DUMMYFUNCTION("IF(OR($A31="""", W$5=""""), """", IF(ISNUMBER(MATCH(W$5, IFERROR(FILTER('MASTER LIST'!$N$2:$AB$294, 'MASTER LIST'!$A$2:$A$294=$A31), """"), 0)), ""Y"", """"))"),"")</f>
        <v/>
      </c>
      <c r="X31" s="92" t="str">
        <f>IFERROR(__xludf.DUMMYFUNCTION("IF(OR($A31="""", X$5=""""), """", IF(ISNUMBER(MATCH(X$5, IFERROR(FILTER('MASTER LIST'!$N$2:$AB$294, 'MASTER LIST'!$A$2:$A$294=$A31), """"), 0)), ""Y"", """"))"),"")</f>
        <v/>
      </c>
      <c r="Y31" s="92" t="str">
        <f>IFERROR(__xludf.DUMMYFUNCTION("IF(OR($A31="""", Y$5=""""), """", IF(ISNUMBER(MATCH(Y$5, IFERROR(FILTER('MASTER LIST'!$N$2:$AB$294, 'MASTER LIST'!$A$2:$A$294=$A31), """"), 0)), ""Y"", """"))"),"")</f>
        <v/>
      </c>
      <c r="Z31" s="92" t="str">
        <f>IFERROR(__xludf.DUMMYFUNCTION("IF(OR($A31="""", Z$5=""""), """", IF(ISNUMBER(MATCH(Z$5, IFERROR(FILTER('MASTER LIST'!$N$2:$AB$294, 'MASTER LIST'!$A$2:$A$294=$A31), """"), 0)), ""Y"", """"))"),"")</f>
        <v/>
      </c>
      <c r="AA31" s="92" t="str">
        <f>IFERROR(__xludf.DUMMYFUNCTION("IF(OR($A31="""", AA$5=""""), """", IF(ISNUMBER(MATCH(AA$5, IFERROR(FILTER('MASTER LIST'!$N$2:$AB$294, 'MASTER LIST'!$A$2:$A$294=$A31), """"), 0)), ""Y"", """"))"),"")</f>
        <v/>
      </c>
      <c r="AB31" s="92" t="str">
        <f>IFERROR(__xludf.DUMMYFUNCTION("IF(OR($A31="""", AB$5=""""), """", IF(ISNUMBER(MATCH(AB$5, IFERROR(FILTER('MASTER LIST'!$N$2:$AB$294, 'MASTER LIST'!$A$2:$A$294=$A31), """"), 0)), ""Y"", """"))"),"")</f>
        <v/>
      </c>
      <c r="AC31" s="92" t="str">
        <f>IFERROR(__xludf.DUMMYFUNCTION("IF(OR($A31="""", AC$5=""""), """", IF(ISNUMBER(MATCH(AC$5, IFERROR(FILTER('MASTER LIST'!$N$2:$AB$294, 'MASTER LIST'!$A$2:$A$294=$A31), """"), 0)), ""Y"", """"))"),"")</f>
        <v/>
      </c>
      <c r="AD31" s="92" t="str">
        <f>IFERROR(__xludf.DUMMYFUNCTION("IF(OR($A31="""", AD$5=""""), """", IF(ISNUMBER(MATCH(AD$5, IFERROR(FILTER('MASTER LIST'!$N$2:$AB$294, 'MASTER LIST'!$A$2:$A$294=$A31), """"), 0)), ""Y"", """"))"),"")</f>
        <v/>
      </c>
      <c r="AE31" s="92" t="str">
        <f>IFERROR(__xludf.DUMMYFUNCTION("IF(OR($A31="""", AE$5=""""), """", IF(ISNUMBER(MATCH(AE$5, IFERROR(FILTER('MASTER LIST'!$N$2:$AB$294, 'MASTER LIST'!$A$2:$A$294=$A31), """"), 0)), ""Y"", """"))"),"")</f>
        <v/>
      </c>
      <c r="AF31" s="92" t="str">
        <f>IFERROR(__xludf.DUMMYFUNCTION("IF(OR($A31="""", AF$5=""""), """", IF(ISNUMBER(MATCH(AF$5, IFERROR(FILTER('MASTER LIST'!$N$2:$AB$294, 'MASTER LIST'!$A$2:$A$294=$A31), """"), 0)), ""Y"", """"))"),"")</f>
        <v/>
      </c>
      <c r="AG31" s="92" t="str">
        <f>IFERROR(__xludf.DUMMYFUNCTION("IF(OR($A31="""", AG$5=""""), """", IF(ISNUMBER(MATCH(AG$5, IFERROR(FILTER('MASTER LIST'!$N$2:$AB$294, 'MASTER LIST'!$A$2:$A$294=$A31), """"), 0)), ""Y"", """"))"),"")</f>
        <v/>
      </c>
      <c r="AH31" s="92" t="str">
        <f>IFERROR(__xludf.DUMMYFUNCTION("IF(OR($A31="""", AH$5=""""), """", IF(ISNUMBER(MATCH(AH$5, IFERROR(FILTER('MASTER LIST'!$N$2:$AB$294, 'MASTER LIST'!$A$2:$A$294=$A31), """"), 0)), ""Y"", """"))"),"")</f>
        <v/>
      </c>
      <c r="AI31" s="92" t="str">
        <f>IFERROR(__xludf.DUMMYFUNCTION("IF(OR($A31="""", AI$5=""""), """", IF(ISNUMBER(MATCH(AI$5, IFERROR(FILTER('MASTER LIST'!$N$2:$AB$294, 'MASTER LIST'!$A$2:$A$294=$A31), """"), 0)), ""Y"", """"))"),"")</f>
        <v/>
      </c>
      <c r="AJ31" s="92" t="str">
        <f>IFERROR(__xludf.DUMMYFUNCTION("IF(OR($A31="""", AJ$5=""""), """", IF(ISNUMBER(MATCH(AJ$5, IFERROR(FILTER('MASTER LIST'!$N$2:$AB$294, 'MASTER LIST'!$A$2:$A$294=$A31), """"), 0)), ""Y"", """"))"),"")</f>
        <v/>
      </c>
      <c r="AK31" s="92" t="str">
        <f>IFERROR(__xludf.DUMMYFUNCTION("IF(OR($A31="""", AK$5=""""), """", IF(ISNUMBER(MATCH(AK$5, IFERROR(FILTER('MASTER LIST'!$N$2:$AB$294, 'MASTER LIST'!$A$2:$A$294=$A31), """"), 0)), ""Y"", """"))"),"")</f>
        <v/>
      </c>
      <c r="AL31" s="92" t="str">
        <f>IFERROR(__xludf.DUMMYFUNCTION("IF(OR($A31="""", AL$5=""""), """", IF(ISNUMBER(MATCH(AL$5, IFERROR(FILTER('MASTER LIST'!$N$2:$AB$294, 'MASTER LIST'!$A$2:$A$294=$A31), """"), 0)), ""Y"", """"))"),"")</f>
        <v/>
      </c>
      <c r="AM31" s="92" t="str">
        <f>IFERROR(__xludf.DUMMYFUNCTION("IF(OR($A31="""", AM$5=""""), """", IF(ISNUMBER(MATCH(AM$5, IFERROR(FILTER('MASTER LIST'!$N$2:$AB$294, 'MASTER LIST'!$A$2:$A$294=$A31), """"), 0)), ""Y"", """"))"),"")</f>
        <v/>
      </c>
      <c r="AN31" s="92" t="str">
        <f>IFERROR(__xludf.DUMMYFUNCTION("IF(OR($A31="""", AN$5=""""), """", IF(ISNUMBER(MATCH(AN$5, IFERROR(FILTER('MASTER LIST'!$N$2:$AB$294, 'MASTER LIST'!$A$2:$A$294=$A31), """"), 0)), ""Y"", """"))"),"")</f>
        <v/>
      </c>
      <c r="AO31" s="92" t="str">
        <f>IFERROR(__xludf.DUMMYFUNCTION("IF(OR($A31="""", AO$5=""""), """", IF(ISNUMBER(MATCH(AO$5, IFERROR(FILTER('MASTER LIST'!$N$2:$AB$294, 'MASTER LIST'!$A$2:$A$294=$A31), """"), 0)), ""Y"", """"))"),"")</f>
        <v/>
      </c>
      <c r="AP31" s="92" t="str">
        <f>IFERROR(__xludf.DUMMYFUNCTION("IF(OR($A31="""", AP$5=""""), """", IF(ISNUMBER(MATCH(AP$5, IFERROR(FILTER('MASTER LIST'!$N$2:$AB$294, 'MASTER LIST'!$A$2:$A$294=$A31), """"), 0)), ""Y"", """"))"),"")</f>
        <v/>
      </c>
      <c r="AQ31" s="92" t="str">
        <f>IFERROR(__xludf.DUMMYFUNCTION("IF(OR($A31="""", AQ$5=""""), """", IF(ISNUMBER(MATCH(AQ$5, IFERROR(FILTER('MASTER LIST'!$N$2:$AB$294, 'MASTER LIST'!$A$2:$A$294=$A31), """"), 0)), ""Y"", """"))"),"")</f>
        <v/>
      </c>
      <c r="AR31" s="92" t="str">
        <f>IFERROR(__xludf.DUMMYFUNCTION("IF(OR($A31="""", AR$5=""""), """", IF(ISNUMBER(MATCH(AR$5, IFERROR(FILTER('MASTER LIST'!$N$2:$AB$294, 'MASTER LIST'!$A$2:$A$294=$A31), """"), 0)), ""Y"", """"))"),"")</f>
        <v/>
      </c>
      <c r="AS31" s="92" t="str">
        <f>IFERROR(__xludf.DUMMYFUNCTION("IF(OR($A31="""", AS$5=""""), """", IF(ISNUMBER(MATCH(AS$5, IFERROR(FILTER('MASTER LIST'!$N$2:$AB$294, 'MASTER LIST'!$A$2:$A$294=$A31), """"), 0)), ""Y"", """"))"),"")</f>
        <v/>
      </c>
      <c r="AT31" s="92" t="str">
        <f>IFERROR(__xludf.DUMMYFUNCTION("IF(OR($A31="""", AT$5=""""), """", IF(ISNUMBER(MATCH(AT$5, IFERROR(FILTER('MASTER LIST'!$N$2:$AB$294, 'MASTER LIST'!$A$2:$A$294=$A31), """"), 0)), ""Y"", """"))"),"")</f>
        <v/>
      </c>
      <c r="AU31" s="92" t="str">
        <f>IFERROR(__xludf.DUMMYFUNCTION("IF(OR($A31="""", AU$5=""""), """", IF(ISNUMBER(MATCH(AU$5, IFERROR(FILTER('MASTER LIST'!$N$2:$AB$294, 'MASTER LIST'!$A$2:$A$294=$A31), """"), 0)), ""Y"", """"))"),"")</f>
        <v/>
      </c>
      <c r="AV31" s="92" t="str">
        <f>IFERROR(__xludf.DUMMYFUNCTION("IF(OR($A31="""", AV$5=""""), """", IF(ISNUMBER(MATCH(AV$5, IFERROR(FILTER('MASTER LIST'!$N$2:$AB$294, 'MASTER LIST'!$A$2:$A$294=$A31), """"), 0)), ""Y"", """"))"),"")</f>
        <v/>
      </c>
      <c r="AW31" s="92" t="str">
        <f>IFERROR(__xludf.DUMMYFUNCTION("IF(OR($A31="""", AW$5=""""), """", IF(ISNUMBER(MATCH(AW$5, IFERROR(FILTER('MASTER LIST'!$N$2:$AB$294, 'MASTER LIST'!$A$2:$A$294=$A31), """"), 0)), ""Y"", """"))"),"")</f>
        <v/>
      </c>
      <c r="AX31" s="92" t="str">
        <f>IFERROR(__xludf.DUMMYFUNCTION("IF(OR($A31="""", AX$5=""""), """", IF(ISNUMBER(MATCH(AX$5, IFERROR(FILTER('MASTER LIST'!$N$2:$AB$294, 'MASTER LIST'!$A$2:$A$294=$A31), """"), 0)), ""Y"", """"))"),"")</f>
        <v/>
      </c>
      <c r="AY31" s="92" t="str">
        <f>IFERROR(__xludf.DUMMYFUNCTION("IF(OR($A31="""", AY$5=""""), """", IF(ISNUMBER(MATCH(AY$5, IFERROR(FILTER('MASTER LIST'!$N$2:$AB$294, 'MASTER LIST'!$A$2:$A$294=$A31), """"), 0)), ""Y"", """"))"),"")</f>
        <v/>
      </c>
      <c r="AZ31" s="92" t="str">
        <f>IFERROR(__xludf.DUMMYFUNCTION("IF(OR($A31="""", AZ$5=""""), """", IF(ISNUMBER(MATCH(AZ$5, IFERROR(FILTER('MASTER LIST'!$N$2:$AB$294, 'MASTER LIST'!$A$2:$A$294=$A31), """"), 0)), ""Y"", """"))"),"")</f>
        <v/>
      </c>
      <c r="BA31" s="92" t="str">
        <f>IFERROR(__xludf.DUMMYFUNCTION("IF(OR($A31="""", BA$5=""""), """", IF(ISNUMBER(MATCH(BA$5, IFERROR(FILTER('MASTER LIST'!$N$2:$AB$294, 'MASTER LIST'!$A$2:$A$294=$A31), """"), 0)), ""Y"", """"))"),"")</f>
        <v/>
      </c>
      <c r="BB31" s="92" t="str">
        <f>IFERROR(__xludf.DUMMYFUNCTION("IF(OR($A31="""", BB$5=""""), """", IF(ISNUMBER(MATCH(BB$5, IFERROR(FILTER('MASTER LIST'!$N$2:$AB$294, 'MASTER LIST'!$A$2:$A$294=$A31), """"), 0)), ""Y"", """"))"),"")</f>
        <v/>
      </c>
      <c r="BC31" s="92" t="str">
        <f>IFERROR(__xludf.DUMMYFUNCTION("IF(OR($A31="""", BC$5=""""), """", IF(ISNUMBER(MATCH(BC$5, IFERROR(FILTER('MASTER LIST'!$N$2:$AB$294, 'MASTER LIST'!$A$2:$A$294=$A31), """"), 0)), ""Y"", """"))"),"")</f>
        <v/>
      </c>
      <c r="BD31" s="92" t="str">
        <f>IFERROR(__xludf.DUMMYFUNCTION("IF(OR($A31="""", BD$5=""""), """", IF(ISNUMBER(MATCH(BD$5, IFERROR(FILTER('MASTER LIST'!$N$2:$AB$294, 'MASTER LIST'!$A$2:$A$294=$A31), """"), 0)), ""Y"", """"))"),"")</f>
        <v/>
      </c>
      <c r="BE31" s="92" t="str">
        <f>IFERROR(__xludf.DUMMYFUNCTION("IF(OR($A31="""", BE$5=""""), """", IF(ISNUMBER(MATCH(BE$5, IFERROR(FILTER('MASTER LIST'!$N$2:$AB$294, 'MASTER LIST'!$A$2:$A$294=$A31), """"), 0)), ""Y"", """"))"),"")</f>
        <v/>
      </c>
      <c r="BF31" s="92" t="str">
        <f>IFERROR(__xludf.DUMMYFUNCTION("IF(OR($A31="""", BF$5=""""), """", IF(ISNUMBER(MATCH(BF$5, IFERROR(FILTER('MASTER LIST'!$N$2:$AB$294, 'MASTER LIST'!$A$2:$A$294=$A31), """"), 0)), ""Y"", """"))"),"")</f>
        <v/>
      </c>
      <c r="BG31" s="92" t="str">
        <f>IFERROR(__xludf.DUMMYFUNCTION("IF(OR($A31="""", BG$5=""""), """", IF(ISNUMBER(MATCH(BG$5, IFERROR(FILTER('MASTER LIST'!$N$2:$AB$294, 'MASTER LIST'!$A$2:$A$294=$A31), """"), 0)), ""Y"", """"))"),"")</f>
        <v/>
      </c>
      <c r="BH31" s="92" t="str">
        <f>IFERROR(__xludf.DUMMYFUNCTION("IF(OR($A31="""", BH$5=""""), """", IF(ISNUMBER(MATCH(BH$5, IFERROR(FILTER('MASTER LIST'!$N$2:$AB$294, 'MASTER LIST'!$A$2:$A$294=$A31), """"), 0)), ""Y"", """"))"),"")</f>
        <v/>
      </c>
      <c r="BI31" s="92" t="str">
        <f>IFERROR(__xludf.DUMMYFUNCTION("IF(OR($A31="""", BI$5=""""), """", IF(ISNUMBER(MATCH(BI$5, IFERROR(FILTER('MASTER LIST'!$N$2:$AB$294, 'MASTER LIST'!$A$2:$A$294=$A31), """"), 0)), ""Y"", """"))"),"")</f>
        <v/>
      </c>
      <c r="BJ31" s="92" t="str">
        <f>IFERROR(__xludf.DUMMYFUNCTION("IF(OR($A31="""", BJ$5=""""), """", IF(ISNUMBER(MATCH(BJ$5, IFERROR(FILTER('MASTER LIST'!$N$2:$AB$294, 'MASTER LIST'!$A$2:$A$294=$A31), """"), 0)), ""Y"", """"))"),"")</f>
        <v/>
      </c>
      <c r="BK31" s="92" t="str">
        <f>IFERROR(__xludf.DUMMYFUNCTION("IF(OR($A31="""", BK$5=""""), """", IF(ISNUMBER(MATCH(BK$5, IFERROR(FILTER('MASTER LIST'!$N$2:$AB$294, 'MASTER LIST'!$A$2:$A$294=$A31), """"), 0)), ""Y"", """"))"),"")</f>
        <v/>
      </c>
      <c r="BL31" s="92" t="str">
        <f>IFERROR(__xludf.DUMMYFUNCTION("IF(OR($A31="""", BL$5=""""), """", IF(ISNUMBER(MATCH(BL$5, IFERROR(FILTER('MASTER LIST'!$N$2:$AB$294, 'MASTER LIST'!$A$2:$A$294=$A31), """"), 0)), ""Y"", """"))"),"")</f>
        <v/>
      </c>
      <c r="BM31" s="92" t="str">
        <f>IFERROR(__xludf.DUMMYFUNCTION("IF(OR($A31="""", BM$5=""""), """", IF(ISNUMBER(MATCH(BM$5, IFERROR(FILTER('MASTER LIST'!$N$2:$AB$294, 'MASTER LIST'!$A$2:$A$294=$A31), """"), 0)), ""Y"", """"))"),"")</f>
        <v/>
      </c>
      <c r="BN31" s="92" t="str">
        <f>IFERROR(__xludf.DUMMYFUNCTION("IF(OR($A31="""", BN$5=""""), """", IF(ISNUMBER(MATCH(BN$5, IFERROR(FILTER('MASTER LIST'!$N$2:$AB$294, 'MASTER LIST'!$A$2:$A$294=$A31), """"), 0)), ""Y"", """"))"),"")</f>
        <v/>
      </c>
      <c r="BO31" s="92" t="str">
        <f>IFERROR(__xludf.DUMMYFUNCTION("IF(OR($A31="""", BO$5=""""), """", IF(ISNUMBER(MATCH(BO$5, IFERROR(FILTER('MASTER LIST'!$N$2:$AB$294, 'MASTER LIST'!$A$2:$A$294=$A31), """"), 0)), ""Y"", """"))"),"")</f>
        <v/>
      </c>
      <c r="BP31" s="92" t="str">
        <f>IFERROR(__xludf.DUMMYFUNCTION("IF(OR($A31="""", BP$5=""""), """", IF(ISNUMBER(MATCH(BP$5, IFERROR(FILTER('MASTER LIST'!$N$2:$AB$294, 'MASTER LIST'!$A$2:$A$294=$A31), """"), 0)), ""Y"", """"))"),"")</f>
        <v/>
      </c>
      <c r="BQ31" s="92" t="str">
        <f>IFERROR(__xludf.DUMMYFUNCTION("IF(OR($A31="""", BQ$5=""""), """", IF(ISNUMBER(MATCH(BQ$5, IFERROR(FILTER('MASTER LIST'!$N$2:$AB$294, 'MASTER LIST'!$A$2:$A$294=$A31), """"), 0)), ""Y"", """"))"),"")</f>
        <v/>
      </c>
      <c r="BR31" s="92" t="str">
        <f>IFERROR(__xludf.DUMMYFUNCTION("IF(OR($A31="""", BR$5=""""), """", IF(ISNUMBER(MATCH(BR$5, IFERROR(FILTER('MASTER LIST'!$N$2:$AB$294, 'MASTER LIST'!$A$2:$A$294=$A31), """"), 0)), ""Y"", """"))"),"")</f>
        <v/>
      </c>
      <c r="BS31" s="92" t="str">
        <f>IFERROR(__xludf.DUMMYFUNCTION("IF(OR($A31="""", BS$5=""""), """", IF(ISNUMBER(MATCH(BS$5, IFERROR(FILTER('MASTER LIST'!$N$2:$AB$294, 'MASTER LIST'!$A$2:$A$294=$A31), """"), 0)), ""Y"", """"))"),"")</f>
        <v/>
      </c>
      <c r="BT31" s="92" t="str">
        <f>IFERROR(__xludf.DUMMYFUNCTION("IF(OR($A31="""", BT$5=""""), """", IF(ISNUMBER(MATCH(BT$5, IFERROR(FILTER('MASTER LIST'!$N$2:$AB$294, 'MASTER LIST'!$A$2:$A$294=$A31), """"), 0)), ""Y"", """"))"),"")</f>
        <v/>
      </c>
      <c r="BU31" s="92" t="str">
        <f>IFERROR(__xludf.DUMMYFUNCTION("IF(OR($A31="""", BU$5=""""), """", IF(ISNUMBER(MATCH(BU$5, IFERROR(FILTER('MASTER LIST'!$N$2:$AB$294, 'MASTER LIST'!$A$2:$A$294=$A31), """"), 0)), ""Y"", """"))"),"")</f>
        <v/>
      </c>
      <c r="BV31" s="92" t="str">
        <f>IFERROR(__xludf.DUMMYFUNCTION("IF(OR($A31="""", BV$5=""""), """", IF(ISNUMBER(MATCH(BV$5, IFERROR(FILTER('MASTER LIST'!$N$2:$AB$294, 'MASTER LIST'!$A$2:$A$294=$A31), """"), 0)), ""Y"", """"))"),"")</f>
        <v/>
      </c>
      <c r="BW31" s="92" t="str">
        <f>IFERROR(__xludf.DUMMYFUNCTION("IF(OR($A31="""", BW$5=""""), """", IF(ISNUMBER(MATCH(BW$5, IFERROR(FILTER('MASTER LIST'!$N$2:$AB$294, 'MASTER LIST'!$A$2:$A$294=$A31), """"), 0)), ""Y"", """"))"),"")</f>
        <v/>
      </c>
      <c r="BX31" s="92" t="str">
        <f>IFERROR(__xludf.DUMMYFUNCTION("IF(OR($A31="""", BX$5=""""), """", IF(ISNUMBER(MATCH(BX$5, IFERROR(FILTER('MASTER LIST'!$N$2:$AB$294, 'MASTER LIST'!$A$2:$A$294=$A31), """"), 0)), ""Y"", """"))"),"")</f>
        <v/>
      </c>
      <c r="BY31" s="92" t="str">
        <f>IFERROR(__xludf.DUMMYFUNCTION("IF(OR($A31="""", BY$5=""""), """", IF(ISNUMBER(MATCH(BY$5, IFERROR(FILTER('MASTER LIST'!$N$2:$AB$294, 'MASTER LIST'!$A$2:$A$294=$A31), """"), 0)), ""Y"", """"))"),"")</f>
        <v/>
      </c>
      <c r="BZ31" s="92" t="str">
        <f>IFERROR(__xludf.DUMMYFUNCTION("IF(OR($A31="""", BZ$5=""""), """", IF(ISNUMBER(MATCH(BZ$5, IFERROR(FILTER('MASTER LIST'!$N$2:$AB$294, 'MASTER LIST'!$A$2:$A$294=$A31), """"), 0)), ""Y"", """"))"),"")</f>
        <v/>
      </c>
      <c r="CA31" s="92" t="str">
        <f>IFERROR(__xludf.DUMMYFUNCTION("IF(OR($A31="""", CA$5=""""), """", IF(ISNUMBER(MATCH(CA$5, IFERROR(FILTER('MASTER LIST'!$N$2:$AB$294, 'MASTER LIST'!$A$2:$A$294=$A31), """"), 0)), ""Y"", """"))"),"")</f>
        <v/>
      </c>
      <c r="CB31" s="92" t="str">
        <f>IFERROR(__xludf.DUMMYFUNCTION("IF(OR($A31="""", CB$5=""""), """", IF(ISNUMBER(MATCH(CB$5, IFERROR(FILTER('MASTER LIST'!$N$2:$AB$294, 'MASTER LIST'!$A$2:$A$294=$A31), """"), 0)), ""Y"", """"))"),"")</f>
        <v/>
      </c>
      <c r="CC31" s="92"/>
      <c r="CD31" s="92"/>
      <c r="CE31" s="92"/>
      <c r="CF31" s="92"/>
      <c r="CG31" s="92"/>
      <c r="CH31" s="92"/>
      <c r="CI31" s="92"/>
      <c r="CJ31" s="92"/>
      <c r="CK31" s="92"/>
    </row>
    <row r="32">
      <c r="A32" s="75"/>
      <c r="B32" s="75"/>
      <c r="C32" s="75"/>
      <c r="D32" s="75"/>
      <c r="E32" s="75"/>
      <c r="F32" s="75"/>
      <c r="G32" s="92" t="str">
        <f>IFERROR(__xludf.DUMMYFUNCTION("IF(OR($A32="""", G$5=""""), """", IF(ISNUMBER(MATCH(G$5, IFERROR(FILTER('MASTER LIST'!$N$2:$AB$294, 'MASTER LIST'!$A$2:$A$294=$A32), """"), 0)), ""Y"", """"))"),"")</f>
        <v/>
      </c>
      <c r="H32" s="92" t="str">
        <f>IFERROR(__xludf.DUMMYFUNCTION("IF(OR($A32="""", H$5=""""), """", IF(ISNUMBER(MATCH(H$5, IFERROR(FILTER('MASTER LIST'!$N$2:$AB$294, 'MASTER LIST'!$A$2:$A$294=$A32), """"), 0)), ""Y"", """"))"),"")</f>
        <v/>
      </c>
      <c r="I32" s="92" t="str">
        <f>IFERROR(__xludf.DUMMYFUNCTION("IF(OR($A32="""", I$5=""""), """", IF(ISNUMBER(MATCH(I$5, IFERROR(FILTER('MASTER LIST'!$N$2:$AB$294, 'MASTER LIST'!$A$2:$A$294=$A32), """"), 0)), ""Y"", """"))"),"")</f>
        <v/>
      </c>
      <c r="J32" s="92" t="str">
        <f>IFERROR(__xludf.DUMMYFUNCTION("IF(OR($A32="""", J$5=""""), """", IF(ISNUMBER(MATCH(J$5, IFERROR(FILTER('MASTER LIST'!$N$2:$W$294, 'MASTER LIST'!$A$2:$A$294=$A32), """"), 0)), ""Y"", """"))"),"")</f>
        <v/>
      </c>
      <c r="K32" s="92" t="str">
        <f>IFERROR(__xludf.DUMMYFUNCTION("IF(OR($A32="""", K$5=""""), """", IF(ISNUMBER(MATCH(K$5, IFERROR(FILTER('MASTER LIST'!$N$2:$AB$294, 'MASTER LIST'!$A$2:$A$294=$A32), """"), 0)), ""Y"", """"))"),"")</f>
        <v/>
      </c>
      <c r="L32" s="92" t="str">
        <f>IFERROR(__xludf.DUMMYFUNCTION("IF(OR($A32="""", L$5=""""), """", IF(ISNUMBER(MATCH(L$5, IFERROR(FILTER('MASTER LIST'!$N$2:$AB$294, 'MASTER LIST'!$A$2:$A$294=$A32), """"), 0)), ""Y"", """"))"),"")</f>
        <v/>
      </c>
      <c r="M32" s="92" t="str">
        <f>IFERROR(__xludf.DUMMYFUNCTION("IF(OR($A32="""", M$5=""""), """", IF(ISNUMBER(MATCH(M$5, IFERROR(FILTER('MASTER LIST'!$N$2:$AB$294, 'MASTER LIST'!$A$2:$A$294=$A32), """"), 0)), ""Y"", """"))"),"")</f>
        <v/>
      </c>
      <c r="N32" s="92" t="str">
        <f>IFERROR(__xludf.DUMMYFUNCTION("IF(OR($A32="""", N$5=""""), """", IF(ISNUMBER(MATCH(N$5, IFERROR(FILTER('MASTER LIST'!$N$2:$AB$294, 'MASTER LIST'!$A$2:$A$294=$A32), """"), 0)), ""Y"", """"))"),"")</f>
        <v/>
      </c>
      <c r="O32" s="92" t="str">
        <f>IFERROR(__xludf.DUMMYFUNCTION("IF(OR($A32="""", O$5=""""), """", IF(ISNUMBER(MATCH(O$5, IFERROR(FILTER('MASTER LIST'!$N$2:$AB$294, 'MASTER LIST'!$A$2:$A$294=$A32), """"), 0)), ""Y"", """"))"),"")</f>
        <v/>
      </c>
      <c r="P32" s="92" t="str">
        <f>IFERROR(__xludf.DUMMYFUNCTION("IF(OR($A32="""", P$5=""""), """", IF(ISNUMBER(MATCH(P$5, IFERROR(FILTER('MASTER LIST'!$N$2:$AB$294, 'MASTER LIST'!$A$2:$A$294=$A32), """"), 0)), ""Y"", """"))"),"")</f>
        <v/>
      </c>
      <c r="Q32" s="92" t="str">
        <f>IFERROR(__xludf.DUMMYFUNCTION("IF(OR($A32="""", Q$5=""""), """", IF(ISNUMBER(MATCH(Q$5, IFERROR(FILTER('MASTER LIST'!$N$2:$AB$294, 'MASTER LIST'!$A$2:$A$294=$A32), """"), 0)), ""Y"", """"))"),"")</f>
        <v/>
      </c>
      <c r="R32" s="92" t="str">
        <f>IFERROR(__xludf.DUMMYFUNCTION("IF(OR($A32="""", R$5=""""), """", IF(ISNUMBER(MATCH(R$5, IFERROR(FILTER('MASTER LIST'!$N$2:$AB$294, 'MASTER LIST'!$A$2:$A$294=$A32), """"), 0)), ""Y"", """"))"),"")</f>
        <v/>
      </c>
      <c r="S32" s="92" t="str">
        <f>IFERROR(__xludf.DUMMYFUNCTION("IF(OR($A32="""", S$5=""""), """", IF(ISNUMBER(MATCH(S$5, IFERROR(FILTER('MASTER LIST'!$N$2:$AB$294, 'MASTER LIST'!$A$2:$A$294=$A32), """"), 0)), ""Y"", """"))"),"")</f>
        <v/>
      </c>
      <c r="T32" s="92" t="str">
        <f>IFERROR(__xludf.DUMMYFUNCTION("IF(OR($A32="""", T$5=""""), """", IF(ISNUMBER(MATCH(T$5, IFERROR(FILTER('MASTER LIST'!$N$2:$AB$294, 'MASTER LIST'!$A$2:$A$294=$A32), """"), 0)), ""Y"", """"))"),"")</f>
        <v/>
      </c>
      <c r="U32" s="92" t="str">
        <f>IFERROR(__xludf.DUMMYFUNCTION("IF(OR($A32="""", U$5=""""), """", IF(ISNUMBER(MATCH(U$5, IFERROR(FILTER('MASTER LIST'!$N$2:$AB$294, 'MASTER LIST'!$A$2:$A$294=$A32), """"), 0)), ""Y"", """"))"),"")</f>
        <v/>
      </c>
      <c r="V32" s="92" t="str">
        <f>IFERROR(__xludf.DUMMYFUNCTION("IF(OR($A32="""", V$5=""""), """", IF(ISNUMBER(MATCH(V$5, IFERROR(FILTER('MASTER LIST'!$N$2:$AB$294, 'MASTER LIST'!$A$2:$A$294=$A32), """"), 0)), ""Y"", """"))"),"")</f>
        <v/>
      </c>
      <c r="W32" s="92" t="str">
        <f>IFERROR(__xludf.DUMMYFUNCTION("IF(OR($A32="""", W$5=""""), """", IF(ISNUMBER(MATCH(W$5, IFERROR(FILTER('MASTER LIST'!$N$2:$AB$294, 'MASTER LIST'!$A$2:$A$294=$A32), """"), 0)), ""Y"", """"))"),"")</f>
        <v/>
      </c>
      <c r="X32" s="92" t="str">
        <f>IFERROR(__xludf.DUMMYFUNCTION("IF(OR($A32="""", X$5=""""), """", IF(ISNUMBER(MATCH(X$5, IFERROR(FILTER('MASTER LIST'!$N$2:$AB$294, 'MASTER LIST'!$A$2:$A$294=$A32), """"), 0)), ""Y"", """"))"),"")</f>
        <v/>
      </c>
      <c r="Y32" s="92" t="str">
        <f>IFERROR(__xludf.DUMMYFUNCTION("IF(OR($A32="""", Y$5=""""), """", IF(ISNUMBER(MATCH(Y$5, IFERROR(FILTER('MASTER LIST'!$N$2:$AB$294, 'MASTER LIST'!$A$2:$A$294=$A32), """"), 0)), ""Y"", """"))"),"")</f>
        <v/>
      </c>
      <c r="Z32" s="92" t="str">
        <f>IFERROR(__xludf.DUMMYFUNCTION("IF(OR($A32="""", Z$5=""""), """", IF(ISNUMBER(MATCH(Z$5, IFERROR(FILTER('MASTER LIST'!$N$2:$AB$294, 'MASTER LIST'!$A$2:$A$294=$A32), """"), 0)), ""Y"", """"))"),"")</f>
        <v/>
      </c>
      <c r="AA32" s="92" t="str">
        <f>IFERROR(__xludf.DUMMYFUNCTION("IF(OR($A32="""", AA$5=""""), """", IF(ISNUMBER(MATCH(AA$5, IFERROR(FILTER('MASTER LIST'!$N$2:$AB$294, 'MASTER LIST'!$A$2:$A$294=$A32), """"), 0)), ""Y"", """"))"),"")</f>
        <v/>
      </c>
      <c r="AB32" s="92" t="str">
        <f>IFERROR(__xludf.DUMMYFUNCTION("IF(OR($A32="""", AB$5=""""), """", IF(ISNUMBER(MATCH(AB$5, IFERROR(FILTER('MASTER LIST'!$N$2:$AB$294, 'MASTER LIST'!$A$2:$A$294=$A32), """"), 0)), ""Y"", """"))"),"")</f>
        <v/>
      </c>
      <c r="AC32" s="92" t="str">
        <f>IFERROR(__xludf.DUMMYFUNCTION("IF(OR($A32="""", AC$5=""""), """", IF(ISNUMBER(MATCH(AC$5, IFERROR(FILTER('MASTER LIST'!$N$2:$AB$294, 'MASTER LIST'!$A$2:$A$294=$A32), """"), 0)), ""Y"", """"))"),"")</f>
        <v/>
      </c>
      <c r="AD32" s="92" t="str">
        <f>IFERROR(__xludf.DUMMYFUNCTION("IF(OR($A32="""", AD$5=""""), """", IF(ISNUMBER(MATCH(AD$5, IFERROR(FILTER('MASTER LIST'!$N$2:$AB$294, 'MASTER LIST'!$A$2:$A$294=$A32), """"), 0)), ""Y"", """"))"),"")</f>
        <v/>
      </c>
      <c r="AE32" s="92" t="str">
        <f>IFERROR(__xludf.DUMMYFUNCTION("IF(OR($A32="""", AE$5=""""), """", IF(ISNUMBER(MATCH(AE$5, IFERROR(FILTER('MASTER LIST'!$N$2:$AB$294, 'MASTER LIST'!$A$2:$A$294=$A32), """"), 0)), ""Y"", """"))"),"")</f>
        <v/>
      </c>
      <c r="AF32" s="92" t="str">
        <f>IFERROR(__xludf.DUMMYFUNCTION("IF(OR($A32="""", AF$5=""""), """", IF(ISNUMBER(MATCH(AF$5, IFERROR(FILTER('MASTER LIST'!$N$2:$AB$294, 'MASTER LIST'!$A$2:$A$294=$A32), """"), 0)), ""Y"", """"))"),"")</f>
        <v/>
      </c>
      <c r="AG32" s="92" t="str">
        <f>IFERROR(__xludf.DUMMYFUNCTION("IF(OR($A32="""", AG$5=""""), """", IF(ISNUMBER(MATCH(AG$5, IFERROR(FILTER('MASTER LIST'!$N$2:$AB$294, 'MASTER LIST'!$A$2:$A$294=$A32), """"), 0)), ""Y"", """"))"),"")</f>
        <v/>
      </c>
      <c r="AH32" s="92" t="str">
        <f>IFERROR(__xludf.DUMMYFUNCTION("IF(OR($A32="""", AH$5=""""), """", IF(ISNUMBER(MATCH(AH$5, IFERROR(FILTER('MASTER LIST'!$N$2:$AB$294, 'MASTER LIST'!$A$2:$A$294=$A32), """"), 0)), ""Y"", """"))"),"")</f>
        <v/>
      </c>
      <c r="AI32" s="92" t="str">
        <f>IFERROR(__xludf.DUMMYFUNCTION("IF(OR($A32="""", AI$5=""""), """", IF(ISNUMBER(MATCH(AI$5, IFERROR(FILTER('MASTER LIST'!$N$2:$AB$294, 'MASTER LIST'!$A$2:$A$294=$A32), """"), 0)), ""Y"", """"))"),"")</f>
        <v/>
      </c>
      <c r="AJ32" s="92" t="str">
        <f>IFERROR(__xludf.DUMMYFUNCTION("IF(OR($A32="""", AJ$5=""""), """", IF(ISNUMBER(MATCH(AJ$5, IFERROR(FILTER('MASTER LIST'!$N$2:$AB$294, 'MASTER LIST'!$A$2:$A$294=$A32), """"), 0)), ""Y"", """"))"),"")</f>
        <v/>
      </c>
      <c r="AK32" s="92" t="str">
        <f>IFERROR(__xludf.DUMMYFUNCTION("IF(OR($A32="""", AK$5=""""), """", IF(ISNUMBER(MATCH(AK$5, IFERROR(FILTER('MASTER LIST'!$N$2:$AB$294, 'MASTER LIST'!$A$2:$A$294=$A32), """"), 0)), ""Y"", """"))"),"")</f>
        <v/>
      </c>
      <c r="AL32" s="92" t="str">
        <f>IFERROR(__xludf.DUMMYFUNCTION("IF(OR($A32="""", AL$5=""""), """", IF(ISNUMBER(MATCH(AL$5, IFERROR(FILTER('MASTER LIST'!$N$2:$AB$294, 'MASTER LIST'!$A$2:$A$294=$A32), """"), 0)), ""Y"", """"))"),"")</f>
        <v/>
      </c>
      <c r="AM32" s="92" t="str">
        <f>IFERROR(__xludf.DUMMYFUNCTION("IF(OR($A32="""", AM$5=""""), """", IF(ISNUMBER(MATCH(AM$5, IFERROR(FILTER('MASTER LIST'!$N$2:$AB$294, 'MASTER LIST'!$A$2:$A$294=$A32), """"), 0)), ""Y"", """"))"),"")</f>
        <v/>
      </c>
      <c r="AN32" s="92" t="str">
        <f>IFERROR(__xludf.DUMMYFUNCTION("IF(OR($A32="""", AN$5=""""), """", IF(ISNUMBER(MATCH(AN$5, IFERROR(FILTER('MASTER LIST'!$N$2:$AB$294, 'MASTER LIST'!$A$2:$A$294=$A32), """"), 0)), ""Y"", """"))"),"")</f>
        <v/>
      </c>
      <c r="AO32" s="92" t="str">
        <f>IFERROR(__xludf.DUMMYFUNCTION("IF(OR($A32="""", AO$5=""""), """", IF(ISNUMBER(MATCH(AO$5, IFERROR(FILTER('MASTER LIST'!$N$2:$AB$294, 'MASTER LIST'!$A$2:$A$294=$A32), """"), 0)), ""Y"", """"))"),"")</f>
        <v/>
      </c>
      <c r="AP32" s="92" t="str">
        <f>IFERROR(__xludf.DUMMYFUNCTION("IF(OR($A32="""", AP$5=""""), """", IF(ISNUMBER(MATCH(AP$5, IFERROR(FILTER('MASTER LIST'!$N$2:$AB$294, 'MASTER LIST'!$A$2:$A$294=$A32), """"), 0)), ""Y"", """"))"),"")</f>
        <v/>
      </c>
      <c r="AQ32" s="92" t="str">
        <f>IFERROR(__xludf.DUMMYFUNCTION("IF(OR($A32="""", AQ$5=""""), """", IF(ISNUMBER(MATCH(AQ$5, IFERROR(FILTER('MASTER LIST'!$N$2:$AB$294, 'MASTER LIST'!$A$2:$A$294=$A32), """"), 0)), ""Y"", """"))"),"")</f>
        <v/>
      </c>
      <c r="AR32" s="92" t="str">
        <f>IFERROR(__xludf.DUMMYFUNCTION("IF(OR($A32="""", AR$5=""""), """", IF(ISNUMBER(MATCH(AR$5, IFERROR(FILTER('MASTER LIST'!$N$2:$AB$294, 'MASTER LIST'!$A$2:$A$294=$A32), """"), 0)), ""Y"", """"))"),"")</f>
        <v/>
      </c>
      <c r="AS32" s="92" t="str">
        <f>IFERROR(__xludf.DUMMYFUNCTION("IF(OR($A32="""", AS$5=""""), """", IF(ISNUMBER(MATCH(AS$5, IFERROR(FILTER('MASTER LIST'!$N$2:$AB$294, 'MASTER LIST'!$A$2:$A$294=$A32), """"), 0)), ""Y"", """"))"),"")</f>
        <v/>
      </c>
      <c r="AT32" s="92" t="str">
        <f>IFERROR(__xludf.DUMMYFUNCTION("IF(OR($A32="""", AT$5=""""), """", IF(ISNUMBER(MATCH(AT$5, IFERROR(FILTER('MASTER LIST'!$N$2:$AB$294, 'MASTER LIST'!$A$2:$A$294=$A32), """"), 0)), ""Y"", """"))"),"")</f>
        <v/>
      </c>
      <c r="AU32" s="92" t="str">
        <f>IFERROR(__xludf.DUMMYFUNCTION("IF(OR($A32="""", AU$5=""""), """", IF(ISNUMBER(MATCH(AU$5, IFERROR(FILTER('MASTER LIST'!$N$2:$AB$294, 'MASTER LIST'!$A$2:$A$294=$A32), """"), 0)), ""Y"", """"))"),"")</f>
        <v/>
      </c>
      <c r="AV32" s="92" t="str">
        <f>IFERROR(__xludf.DUMMYFUNCTION("IF(OR($A32="""", AV$5=""""), """", IF(ISNUMBER(MATCH(AV$5, IFERROR(FILTER('MASTER LIST'!$N$2:$AB$294, 'MASTER LIST'!$A$2:$A$294=$A32), """"), 0)), ""Y"", """"))"),"")</f>
        <v/>
      </c>
      <c r="AW32" s="92" t="str">
        <f>IFERROR(__xludf.DUMMYFUNCTION("IF(OR($A32="""", AW$5=""""), """", IF(ISNUMBER(MATCH(AW$5, IFERROR(FILTER('MASTER LIST'!$N$2:$AB$294, 'MASTER LIST'!$A$2:$A$294=$A32), """"), 0)), ""Y"", """"))"),"")</f>
        <v/>
      </c>
      <c r="AX32" s="92" t="str">
        <f>IFERROR(__xludf.DUMMYFUNCTION("IF(OR($A32="""", AX$5=""""), """", IF(ISNUMBER(MATCH(AX$5, IFERROR(FILTER('MASTER LIST'!$N$2:$AB$294, 'MASTER LIST'!$A$2:$A$294=$A32), """"), 0)), ""Y"", """"))"),"")</f>
        <v/>
      </c>
      <c r="AY32" s="92" t="str">
        <f>IFERROR(__xludf.DUMMYFUNCTION("IF(OR($A32="""", AY$5=""""), """", IF(ISNUMBER(MATCH(AY$5, IFERROR(FILTER('MASTER LIST'!$N$2:$AB$294, 'MASTER LIST'!$A$2:$A$294=$A32), """"), 0)), ""Y"", """"))"),"")</f>
        <v/>
      </c>
      <c r="AZ32" s="92" t="str">
        <f>IFERROR(__xludf.DUMMYFUNCTION("IF(OR($A32="""", AZ$5=""""), """", IF(ISNUMBER(MATCH(AZ$5, IFERROR(FILTER('MASTER LIST'!$N$2:$AB$294, 'MASTER LIST'!$A$2:$A$294=$A32), """"), 0)), ""Y"", """"))"),"")</f>
        <v/>
      </c>
      <c r="BA32" s="92" t="str">
        <f>IFERROR(__xludf.DUMMYFUNCTION("IF(OR($A32="""", BA$5=""""), """", IF(ISNUMBER(MATCH(BA$5, IFERROR(FILTER('MASTER LIST'!$N$2:$AB$294, 'MASTER LIST'!$A$2:$A$294=$A32), """"), 0)), ""Y"", """"))"),"")</f>
        <v/>
      </c>
      <c r="BB32" s="92" t="str">
        <f>IFERROR(__xludf.DUMMYFUNCTION("IF(OR($A32="""", BB$5=""""), """", IF(ISNUMBER(MATCH(BB$5, IFERROR(FILTER('MASTER LIST'!$N$2:$AB$294, 'MASTER LIST'!$A$2:$A$294=$A32), """"), 0)), ""Y"", """"))"),"")</f>
        <v/>
      </c>
      <c r="BC32" s="92" t="str">
        <f>IFERROR(__xludf.DUMMYFUNCTION("IF(OR($A32="""", BC$5=""""), """", IF(ISNUMBER(MATCH(BC$5, IFERROR(FILTER('MASTER LIST'!$N$2:$AB$294, 'MASTER LIST'!$A$2:$A$294=$A32), """"), 0)), ""Y"", """"))"),"")</f>
        <v/>
      </c>
      <c r="BD32" s="92" t="str">
        <f>IFERROR(__xludf.DUMMYFUNCTION("IF(OR($A32="""", BD$5=""""), """", IF(ISNUMBER(MATCH(BD$5, IFERROR(FILTER('MASTER LIST'!$N$2:$AB$294, 'MASTER LIST'!$A$2:$A$294=$A32), """"), 0)), ""Y"", """"))"),"")</f>
        <v/>
      </c>
      <c r="BE32" s="92" t="str">
        <f>IFERROR(__xludf.DUMMYFUNCTION("IF(OR($A32="""", BE$5=""""), """", IF(ISNUMBER(MATCH(BE$5, IFERROR(FILTER('MASTER LIST'!$N$2:$AB$294, 'MASTER LIST'!$A$2:$A$294=$A32), """"), 0)), ""Y"", """"))"),"")</f>
        <v/>
      </c>
      <c r="BF32" s="92" t="str">
        <f>IFERROR(__xludf.DUMMYFUNCTION("IF(OR($A32="""", BF$5=""""), """", IF(ISNUMBER(MATCH(BF$5, IFERROR(FILTER('MASTER LIST'!$N$2:$AB$294, 'MASTER LIST'!$A$2:$A$294=$A32), """"), 0)), ""Y"", """"))"),"")</f>
        <v/>
      </c>
      <c r="BG32" s="92" t="str">
        <f>IFERROR(__xludf.DUMMYFUNCTION("IF(OR($A32="""", BG$5=""""), """", IF(ISNUMBER(MATCH(BG$5, IFERROR(FILTER('MASTER LIST'!$N$2:$AB$294, 'MASTER LIST'!$A$2:$A$294=$A32), """"), 0)), ""Y"", """"))"),"")</f>
        <v/>
      </c>
      <c r="BH32" s="92" t="str">
        <f>IFERROR(__xludf.DUMMYFUNCTION("IF(OR($A32="""", BH$5=""""), """", IF(ISNUMBER(MATCH(BH$5, IFERROR(FILTER('MASTER LIST'!$N$2:$AB$294, 'MASTER LIST'!$A$2:$A$294=$A32), """"), 0)), ""Y"", """"))"),"")</f>
        <v/>
      </c>
      <c r="BI32" s="92" t="str">
        <f>IFERROR(__xludf.DUMMYFUNCTION("IF(OR($A32="""", BI$5=""""), """", IF(ISNUMBER(MATCH(BI$5, IFERROR(FILTER('MASTER LIST'!$N$2:$AB$294, 'MASTER LIST'!$A$2:$A$294=$A32), """"), 0)), ""Y"", """"))"),"")</f>
        <v/>
      </c>
      <c r="BJ32" s="92" t="str">
        <f>IFERROR(__xludf.DUMMYFUNCTION("IF(OR($A32="""", BJ$5=""""), """", IF(ISNUMBER(MATCH(BJ$5, IFERROR(FILTER('MASTER LIST'!$N$2:$AB$294, 'MASTER LIST'!$A$2:$A$294=$A32), """"), 0)), ""Y"", """"))"),"")</f>
        <v/>
      </c>
      <c r="BK32" s="92" t="str">
        <f>IFERROR(__xludf.DUMMYFUNCTION("IF(OR($A32="""", BK$5=""""), """", IF(ISNUMBER(MATCH(BK$5, IFERROR(FILTER('MASTER LIST'!$N$2:$AB$294, 'MASTER LIST'!$A$2:$A$294=$A32), """"), 0)), ""Y"", """"))"),"")</f>
        <v/>
      </c>
      <c r="BL32" s="92" t="str">
        <f>IFERROR(__xludf.DUMMYFUNCTION("IF(OR($A32="""", BL$5=""""), """", IF(ISNUMBER(MATCH(BL$5, IFERROR(FILTER('MASTER LIST'!$N$2:$AB$294, 'MASTER LIST'!$A$2:$A$294=$A32), """"), 0)), ""Y"", """"))"),"")</f>
        <v/>
      </c>
      <c r="BM32" s="92" t="str">
        <f>IFERROR(__xludf.DUMMYFUNCTION("IF(OR($A32="""", BM$5=""""), """", IF(ISNUMBER(MATCH(BM$5, IFERROR(FILTER('MASTER LIST'!$N$2:$AB$294, 'MASTER LIST'!$A$2:$A$294=$A32), """"), 0)), ""Y"", """"))"),"")</f>
        <v/>
      </c>
      <c r="BN32" s="92" t="str">
        <f>IFERROR(__xludf.DUMMYFUNCTION("IF(OR($A32="""", BN$5=""""), """", IF(ISNUMBER(MATCH(BN$5, IFERROR(FILTER('MASTER LIST'!$N$2:$AB$294, 'MASTER LIST'!$A$2:$A$294=$A32), """"), 0)), ""Y"", """"))"),"")</f>
        <v/>
      </c>
      <c r="BO32" s="92" t="str">
        <f>IFERROR(__xludf.DUMMYFUNCTION("IF(OR($A32="""", BO$5=""""), """", IF(ISNUMBER(MATCH(BO$5, IFERROR(FILTER('MASTER LIST'!$N$2:$AB$294, 'MASTER LIST'!$A$2:$A$294=$A32), """"), 0)), ""Y"", """"))"),"")</f>
        <v/>
      </c>
      <c r="BP32" s="92" t="str">
        <f>IFERROR(__xludf.DUMMYFUNCTION("IF(OR($A32="""", BP$5=""""), """", IF(ISNUMBER(MATCH(BP$5, IFERROR(FILTER('MASTER LIST'!$N$2:$AB$294, 'MASTER LIST'!$A$2:$A$294=$A32), """"), 0)), ""Y"", """"))"),"")</f>
        <v/>
      </c>
      <c r="BQ32" s="92" t="str">
        <f>IFERROR(__xludf.DUMMYFUNCTION("IF(OR($A32="""", BQ$5=""""), """", IF(ISNUMBER(MATCH(BQ$5, IFERROR(FILTER('MASTER LIST'!$N$2:$AB$294, 'MASTER LIST'!$A$2:$A$294=$A32), """"), 0)), ""Y"", """"))"),"")</f>
        <v/>
      </c>
      <c r="BR32" s="92" t="str">
        <f>IFERROR(__xludf.DUMMYFUNCTION("IF(OR($A32="""", BR$5=""""), """", IF(ISNUMBER(MATCH(BR$5, IFERROR(FILTER('MASTER LIST'!$N$2:$AB$294, 'MASTER LIST'!$A$2:$A$294=$A32), """"), 0)), ""Y"", """"))"),"")</f>
        <v/>
      </c>
      <c r="BS32" s="92" t="str">
        <f>IFERROR(__xludf.DUMMYFUNCTION("IF(OR($A32="""", BS$5=""""), """", IF(ISNUMBER(MATCH(BS$5, IFERROR(FILTER('MASTER LIST'!$N$2:$AB$294, 'MASTER LIST'!$A$2:$A$294=$A32), """"), 0)), ""Y"", """"))"),"")</f>
        <v/>
      </c>
      <c r="BT32" s="92" t="str">
        <f>IFERROR(__xludf.DUMMYFUNCTION("IF(OR($A32="""", BT$5=""""), """", IF(ISNUMBER(MATCH(BT$5, IFERROR(FILTER('MASTER LIST'!$N$2:$AB$294, 'MASTER LIST'!$A$2:$A$294=$A32), """"), 0)), ""Y"", """"))"),"")</f>
        <v/>
      </c>
      <c r="BU32" s="92" t="str">
        <f>IFERROR(__xludf.DUMMYFUNCTION("IF(OR($A32="""", BU$5=""""), """", IF(ISNUMBER(MATCH(BU$5, IFERROR(FILTER('MASTER LIST'!$N$2:$AB$294, 'MASTER LIST'!$A$2:$A$294=$A32), """"), 0)), ""Y"", """"))"),"")</f>
        <v/>
      </c>
      <c r="BV32" s="92" t="str">
        <f>IFERROR(__xludf.DUMMYFUNCTION("IF(OR($A32="""", BV$5=""""), """", IF(ISNUMBER(MATCH(BV$5, IFERROR(FILTER('MASTER LIST'!$N$2:$AB$294, 'MASTER LIST'!$A$2:$A$294=$A32), """"), 0)), ""Y"", """"))"),"")</f>
        <v/>
      </c>
      <c r="BW32" s="92" t="str">
        <f>IFERROR(__xludf.DUMMYFUNCTION("IF(OR($A32="""", BW$5=""""), """", IF(ISNUMBER(MATCH(BW$5, IFERROR(FILTER('MASTER LIST'!$N$2:$AB$294, 'MASTER LIST'!$A$2:$A$294=$A32), """"), 0)), ""Y"", """"))"),"")</f>
        <v/>
      </c>
      <c r="BX32" s="92" t="str">
        <f>IFERROR(__xludf.DUMMYFUNCTION("IF(OR($A32="""", BX$5=""""), """", IF(ISNUMBER(MATCH(BX$5, IFERROR(FILTER('MASTER LIST'!$N$2:$AB$294, 'MASTER LIST'!$A$2:$A$294=$A32), """"), 0)), ""Y"", """"))"),"")</f>
        <v/>
      </c>
      <c r="BY32" s="92" t="str">
        <f>IFERROR(__xludf.DUMMYFUNCTION("IF(OR($A32="""", BY$5=""""), """", IF(ISNUMBER(MATCH(BY$5, IFERROR(FILTER('MASTER LIST'!$N$2:$AB$294, 'MASTER LIST'!$A$2:$A$294=$A32), """"), 0)), ""Y"", """"))"),"")</f>
        <v/>
      </c>
      <c r="BZ32" s="92" t="str">
        <f>IFERROR(__xludf.DUMMYFUNCTION("IF(OR($A32="""", BZ$5=""""), """", IF(ISNUMBER(MATCH(BZ$5, IFERROR(FILTER('MASTER LIST'!$N$2:$AB$294, 'MASTER LIST'!$A$2:$A$294=$A32), """"), 0)), ""Y"", """"))"),"")</f>
        <v/>
      </c>
      <c r="CA32" s="92" t="str">
        <f>IFERROR(__xludf.DUMMYFUNCTION("IF(OR($A32="""", CA$5=""""), """", IF(ISNUMBER(MATCH(CA$5, IFERROR(FILTER('MASTER LIST'!$N$2:$AB$294, 'MASTER LIST'!$A$2:$A$294=$A32), """"), 0)), ""Y"", """"))"),"")</f>
        <v/>
      </c>
      <c r="CB32" s="92" t="str">
        <f>IFERROR(__xludf.DUMMYFUNCTION("IF(OR($A32="""", CB$5=""""), """", IF(ISNUMBER(MATCH(CB$5, IFERROR(FILTER('MASTER LIST'!$N$2:$AB$294, 'MASTER LIST'!$A$2:$A$294=$A32), """"), 0)), ""Y"", """"))"),"")</f>
        <v/>
      </c>
      <c r="CC32" s="92"/>
      <c r="CD32" s="92"/>
      <c r="CE32" s="92"/>
      <c r="CF32" s="92"/>
      <c r="CG32" s="92"/>
      <c r="CH32" s="92"/>
      <c r="CI32" s="92"/>
      <c r="CJ32" s="92"/>
      <c r="CK32" s="92"/>
    </row>
    <row r="33">
      <c r="A33" s="75"/>
      <c r="B33" s="75"/>
      <c r="C33" s="75"/>
      <c r="D33" s="75"/>
      <c r="E33" s="75"/>
      <c r="F33" s="75"/>
      <c r="G33" s="92" t="str">
        <f>IFERROR(__xludf.DUMMYFUNCTION("IF(OR($A33="""", G$5=""""), """", IF(ISNUMBER(MATCH(G$5, IFERROR(FILTER('MASTER LIST'!$N$2:$AB$294, 'MASTER LIST'!$A$2:$A$294=$A33), """"), 0)), ""Y"", """"))"),"")</f>
        <v/>
      </c>
      <c r="H33" s="92" t="str">
        <f>IFERROR(__xludf.DUMMYFUNCTION("IF(OR($A33="""", H$5=""""), """", IF(ISNUMBER(MATCH(H$5, IFERROR(FILTER('MASTER LIST'!$N$2:$AB$294, 'MASTER LIST'!$A$2:$A$294=$A33), """"), 0)), ""Y"", """"))"),"")</f>
        <v/>
      </c>
      <c r="I33" s="92" t="str">
        <f>IFERROR(__xludf.DUMMYFUNCTION("IF(OR($A33="""", I$5=""""), """", IF(ISNUMBER(MATCH(I$5, IFERROR(FILTER('MASTER LIST'!$N$2:$AB$294, 'MASTER LIST'!$A$2:$A$294=$A33), """"), 0)), ""Y"", """"))"),"")</f>
        <v/>
      </c>
      <c r="J33" s="92" t="str">
        <f>IFERROR(__xludf.DUMMYFUNCTION("IF(OR($A33="""", J$5=""""), """", IF(ISNUMBER(MATCH(J$5, IFERROR(FILTER('MASTER LIST'!$N$2:$AB$294, 'MASTER LIST'!$A$2:$A$294=$A33), """"), 0)), ""Y"", """"))"),"")</f>
        <v/>
      </c>
      <c r="K33" s="92" t="str">
        <f>IFERROR(__xludf.DUMMYFUNCTION("IF(OR($A33="""", K$5=""""), """", IF(ISNUMBER(MATCH(K$5, IFERROR(FILTER('MASTER LIST'!$N$2:$AB$294, 'MASTER LIST'!$A$2:$A$294=$A33), """"), 0)), ""Y"", """"))"),"")</f>
        <v/>
      </c>
      <c r="L33" s="92" t="str">
        <f>IFERROR(__xludf.DUMMYFUNCTION("IF(OR($A33="""", L$5=""""), """", IF(ISNUMBER(MATCH(L$5, IFERROR(FILTER('MASTER LIST'!$N$2:$AB$294, 'MASTER LIST'!$A$2:$A$294=$A33), """"), 0)), ""Y"", """"))"),"")</f>
        <v/>
      </c>
      <c r="M33" s="92" t="str">
        <f>IFERROR(__xludf.DUMMYFUNCTION("IF(OR($A33="""", M$5=""""), """", IF(ISNUMBER(MATCH(M$5, IFERROR(FILTER('MASTER LIST'!$N$2:$AB$294, 'MASTER LIST'!$A$2:$A$294=$A33), """"), 0)), ""Y"", """"))"),"")</f>
        <v/>
      </c>
      <c r="N33" s="92" t="str">
        <f>IFERROR(__xludf.DUMMYFUNCTION("IF(OR($A33="""", N$5=""""), """", IF(ISNUMBER(MATCH(N$5, IFERROR(FILTER('MASTER LIST'!$N$2:$AB$294, 'MASTER LIST'!$A$2:$A$294=$A33), """"), 0)), ""Y"", """"))"),"")</f>
        <v/>
      </c>
      <c r="O33" s="92" t="str">
        <f>IFERROR(__xludf.DUMMYFUNCTION("IF(OR($A33="""", O$5=""""), """", IF(ISNUMBER(MATCH(O$5, IFERROR(FILTER('MASTER LIST'!$N$2:$AB$294, 'MASTER LIST'!$A$2:$A$294=$A33), """"), 0)), ""Y"", """"))"),"")</f>
        <v/>
      </c>
      <c r="P33" s="92" t="str">
        <f>IFERROR(__xludf.DUMMYFUNCTION("IF(OR($A33="""", P$5=""""), """", IF(ISNUMBER(MATCH(P$5, IFERROR(FILTER('MASTER LIST'!$N$2:$AB$294, 'MASTER LIST'!$A$2:$A$294=$A33), """"), 0)), ""Y"", """"))"),"")</f>
        <v/>
      </c>
      <c r="Q33" s="92" t="str">
        <f>IFERROR(__xludf.DUMMYFUNCTION("IF(OR($A33="""", Q$5=""""), """", IF(ISNUMBER(MATCH(Q$5, IFERROR(FILTER('MASTER LIST'!$N$2:$AB$294, 'MASTER LIST'!$A$2:$A$294=$A33), """"), 0)), ""Y"", """"))"),"")</f>
        <v/>
      </c>
      <c r="R33" s="92" t="str">
        <f>IFERROR(__xludf.DUMMYFUNCTION("IF(OR($A33="""", R$5=""""), """", IF(ISNUMBER(MATCH(R$5, IFERROR(FILTER('MASTER LIST'!$N$2:$AB$294, 'MASTER LIST'!$A$2:$A$294=$A33), """"), 0)), ""Y"", """"))"),"")</f>
        <v/>
      </c>
      <c r="S33" s="92" t="str">
        <f>IFERROR(__xludf.DUMMYFUNCTION("IF(OR($A33="""", S$5=""""), """", IF(ISNUMBER(MATCH(S$5, IFERROR(FILTER('MASTER LIST'!$N$2:$AB$294, 'MASTER LIST'!$A$2:$A$294=$A33), """"), 0)), ""Y"", """"))"),"")</f>
        <v/>
      </c>
      <c r="T33" s="92" t="str">
        <f>IFERROR(__xludf.DUMMYFUNCTION("IF(OR($A33="""", T$5=""""), """", IF(ISNUMBER(MATCH(T$5, IFERROR(FILTER('MASTER LIST'!$N$2:$AB$294, 'MASTER LIST'!$A$2:$A$294=$A33), """"), 0)), ""Y"", """"))"),"")</f>
        <v/>
      </c>
      <c r="U33" s="92" t="str">
        <f>IFERROR(__xludf.DUMMYFUNCTION("IF(OR($A33="""", U$5=""""), """", IF(ISNUMBER(MATCH(U$5, IFERROR(FILTER('MASTER LIST'!$N$2:$AB$294, 'MASTER LIST'!$A$2:$A$294=$A33), """"), 0)), ""Y"", """"))"),"")</f>
        <v/>
      </c>
      <c r="V33" s="92" t="str">
        <f>IFERROR(__xludf.DUMMYFUNCTION("IF(OR($A33="""", V$5=""""), """", IF(ISNUMBER(MATCH(V$5, IFERROR(FILTER('MASTER LIST'!$N$2:$AB$294, 'MASTER LIST'!$A$2:$A$294=$A33), """"), 0)), ""Y"", """"))"),"")</f>
        <v/>
      </c>
      <c r="W33" s="92" t="str">
        <f>IFERROR(__xludf.DUMMYFUNCTION("IF(OR($A33="""", W$5=""""), """", IF(ISNUMBER(MATCH(W$5, IFERROR(FILTER('MASTER LIST'!$N$2:$AB$294, 'MASTER LIST'!$A$2:$A$294=$A33), """"), 0)), ""Y"", """"))"),"")</f>
        <v/>
      </c>
      <c r="X33" s="92" t="str">
        <f>IFERROR(__xludf.DUMMYFUNCTION("IF(OR($A33="""", X$5=""""), """", IF(ISNUMBER(MATCH(X$5, IFERROR(FILTER('MASTER LIST'!$N$2:$AB$294, 'MASTER LIST'!$A$2:$A$294=$A33), """"), 0)), ""Y"", """"))"),"")</f>
        <v/>
      </c>
      <c r="Y33" s="92" t="str">
        <f>IFERROR(__xludf.DUMMYFUNCTION("IF(OR($A33="""", Y$5=""""), """", IF(ISNUMBER(MATCH(Y$5, IFERROR(FILTER('MASTER LIST'!$N$2:$AB$294, 'MASTER LIST'!$A$2:$A$294=$A33), """"), 0)), ""Y"", """"))"),"")</f>
        <v/>
      </c>
      <c r="Z33" s="92" t="str">
        <f>IFERROR(__xludf.DUMMYFUNCTION("IF(OR($A33="""", Z$5=""""), """", IF(ISNUMBER(MATCH(Z$5, IFERROR(FILTER('MASTER LIST'!$N$2:$AB$294, 'MASTER LIST'!$A$2:$A$294=$A33), """"), 0)), ""Y"", """"))"),"")</f>
        <v/>
      </c>
      <c r="AA33" s="92" t="str">
        <f>IFERROR(__xludf.DUMMYFUNCTION("IF(OR($A33="""", AA$5=""""), """", IF(ISNUMBER(MATCH(AA$5, IFERROR(FILTER('MASTER LIST'!$N$2:$AB$294, 'MASTER LIST'!$A$2:$A$294=$A33), """"), 0)), ""Y"", """"))"),"")</f>
        <v/>
      </c>
      <c r="AB33" s="92" t="str">
        <f>IFERROR(__xludf.DUMMYFUNCTION("IF(OR($A33="""", AB$5=""""), """", IF(ISNUMBER(MATCH(AB$5, IFERROR(FILTER('MASTER LIST'!$N$2:$AB$294, 'MASTER LIST'!$A$2:$A$294=$A33), """"), 0)), ""Y"", """"))"),"")</f>
        <v/>
      </c>
      <c r="AC33" s="92" t="str">
        <f>IFERROR(__xludf.DUMMYFUNCTION("IF(OR($A33="""", AC$5=""""), """", IF(ISNUMBER(MATCH(AC$5, IFERROR(FILTER('MASTER LIST'!$N$2:$AB$294, 'MASTER LIST'!$A$2:$A$294=$A33), """"), 0)), ""Y"", """"))"),"")</f>
        <v/>
      </c>
      <c r="AD33" s="92" t="str">
        <f>IFERROR(__xludf.DUMMYFUNCTION("IF(OR($A33="""", AD$5=""""), """", IF(ISNUMBER(MATCH(AD$5, IFERROR(FILTER('MASTER LIST'!$N$2:$AB$294, 'MASTER LIST'!$A$2:$A$294=$A33), """"), 0)), ""Y"", """"))"),"")</f>
        <v/>
      </c>
      <c r="AE33" s="92" t="str">
        <f>IFERROR(__xludf.DUMMYFUNCTION("IF(OR($A33="""", AE$5=""""), """", IF(ISNUMBER(MATCH(AE$5, IFERROR(FILTER('MASTER LIST'!$N$2:$AB$294, 'MASTER LIST'!$A$2:$A$294=$A33), """"), 0)), ""Y"", """"))"),"")</f>
        <v/>
      </c>
      <c r="AF33" s="92" t="str">
        <f>IFERROR(__xludf.DUMMYFUNCTION("IF(OR($A33="""", AF$5=""""), """", IF(ISNUMBER(MATCH(AF$5, IFERROR(FILTER('MASTER LIST'!$N$2:$AB$294, 'MASTER LIST'!$A$2:$A$294=$A33), """"), 0)), ""Y"", """"))"),"")</f>
        <v/>
      </c>
      <c r="AG33" s="92" t="str">
        <f>IFERROR(__xludf.DUMMYFUNCTION("IF(OR($A33="""", AG$5=""""), """", IF(ISNUMBER(MATCH(AG$5, IFERROR(FILTER('MASTER LIST'!$N$2:$AB$294, 'MASTER LIST'!$A$2:$A$294=$A33), """"), 0)), ""Y"", """"))"),"")</f>
        <v/>
      </c>
      <c r="AH33" s="92" t="str">
        <f>IFERROR(__xludf.DUMMYFUNCTION("IF(OR($A33="""", AH$5=""""), """", IF(ISNUMBER(MATCH(AH$5, IFERROR(FILTER('MASTER LIST'!$N$2:$AB$294, 'MASTER LIST'!$A$2:$A$294=$A33), """"), 0)), ""Y"", """"))"),"")</f>
        <v/>
      </c>
      <c r="AI33" s="92" t="str">
        <f>IFERROR(__xludf.DUMMYFUNCTION("IF(OR($A33="""", AI$5=""""), """", IF(ISNUMBER(MATCH(AI$5, IFERROR(FILTER('MASTER LIST'!$N$2:$AB$294, 'MASTER LIST'!$A$2:$A$294=$A33), """"), 0)), ""Y"", """"))"),"")</f>
        <v/>
      </c>
      <c r="AJ33" s="92" t="str">
        <f>IFERROR(__xludf.DUMMYFUNCTION("IF(OR($A33="""", AJ$5=""""), """", IF(ISNUMBER(MATCH(AJ$5, IFERROR(FILTER('MASTER LIST'!$N$2:$AB$294, 'MASTER LIST'!$A$2:$A$294=$A33), """"), 0)), ""Y"", """"))"),"")</f>
        <v/>
      </c>
      <c r="AK33" s="92" t="str">
        <f>IFERROR(__xludf.DUMMYFUNCTION("IF(OR($A33="""", AK$5=""""), """", IF(ISNUMBER(MATCH(AK$5, IFERROR(FILTER('MASTER LIST'!$N$2:$AB$294, 'MASTER LIST'!$A$2:$A$294=$A33), """"), 0)), ""Y"", """"))"),"")</f>
        <v/>
      </c>
      <c r="AL33" s="92" t="str">
        <f>IFERROR(__xludf.DUMMYFUNCTION("IF(OR($A33="""", AL$5=""""), """", IF(ISNUMBER(MATCH(AL$5, IFERROR(FILTER('MASTER LIST'!$N$2:$AB$294, 'MASTER LIST'!$A$2:$A$294=$A33), """"), 0)), ""Y"", """"))"),"")</f>
        <v/>
      </c>
      <c r="AM33" s="92" t="str">
        <f>IFERROR(__xludf.DUMMYFUNCTION("IF(OR($A33="""", AM$5=""""), """", IF(ISNUMBER(MATCH(AM$5, IFERROR(FILTER('MASTER LIST'!$N$2:$AB$294, 'MASTER LIST'!$A$2:$A$294=$A33), """"), 0)), ""Y"", """"))"),"")</f>
        <v/>
      </c>
      <c r="AN33" s="92" t="str">
        <f>IFERROR(__xludf.DUMMYFUNCTION("IF(OR($A33="""", AN$5=""""), """", IF(ISNUMBER(MATCH(AN$5, IFERROR(FILTER('MASTER LIST'!$N$2:$AB$294, 'MASTER LIST'!$A$2:$A$294=$A33), """"), 0)), ""Y"", """"))"),"")</f>
        <v/>
      </c>
      <c r="AO33" s="92" t="str">
        <f>IFERROR(__xludf.DUMMYFUNCTION("IF(OR($A33="""", AO$5=""""), """", IF(ISNUMBER(MATCH(AO$5, IFERROR(FILTER('MASTER LIST'!$N$2:$AB$294, 'MASTER LIST'!$A$2:$A$294=$A33), """"), 0)), ""Y"", """"))"),"")</f>
        <v/>
      </c>
      <c r="AP33" s="92" t="str">
        <f>IFERROR(__xludf.DUMMYFUNCTION("IF(OR($A33="""", AP$5=""""), """", IF(ISNUMBER(MATCH(AP$5, IFERROR(FILTER('MASTER LIST'!$N$2:$AB$294, 'MASTER LIST'!$A$2:$A$294=$A33), """"), 0)), ""Y"", """"))"),"")</f>
        <v/>
      </c>
      <c r="AQ33" s="92" t="str">
        <f>IFERROR(__xludf.DUMMYFUNCTION("IF(OR($A33="""", AQ$5=""""), """", IF(ISNUMBER(MATCH(AQ$5, IFERROR(FILTER('MASTER LIST'!$N$2:$AB$294, 'MASTER LIST'!$A$2:$A$294=$A33), """"), 0)), ""Y"", """"))"),"")</f>
        <v/>
      </c>
      <c r="AR33" s="92" t="str">
        <f>IFERROR(__xludf.DUMMYFUNCTION("IF(OR($A33="""", AR$5=""""), """", IF(ISNUMBER(MATCH(AR$5, IFERROR(FILTER('MASTER LIST'!$N$2:$AB$294, 'MASTER LIST'!$A$2:$A$294=$A33), """"), 0)), ""Y"", """"))"),"")</f>
        <v/>
      </c>
      <c r="AS33" s="92" t="str">
        <f>IFERROR(__xludf.DUMMYFUNCTION("IF(OR($A33="""", AS$5=""""), """", IF(ISNUMBER(MATCH(AS$5, IFERROR(FILTER('MASTER LIST'!$N$2:$AB$294, 'MASTER LIST'!$A$2:$A$294=$A33), """"), 0)), ""Y"", """"))"),"")</f>
        <v/>
      </c>
      <c r="AT33" s="92" t="str">
        <f>IFERROR(__xludf.DUMMYFUNCTION("IF(OR($A33="""", AT$5=""""), """", IF(ISNUMBER(MATCH(AT$5, IFERROR(FILTER('MASTER LIST'!$N$2:$AB$294, 'MASTER LIST'!$A$2:$A$294=$A33), """"), 0)), ""Y"", """"))"),"")</f>
        <v/>
      </c>
      <c r="AU33" s="92" t="str">
        <f>IFERROR(__xludf.DUMMYFUNCTION("IF(OR($A33="""", AU$5=""""), """", IF(ISNUMBER(MATCH(AU$5, IFERROR(FILTER('MASTER LIST'!$N$2:$AB$294, 'MASTER LIST'!$A$2:$A$294=$A33), """"), 0)), ""Y"", """"))"),"")</f>
        <v/>
      </c>
      <c r="AV33" s="92" t="str">
        <f>IFERROR(__xludf.DUMMYFUNCTION("IF(OR($A33="""", AV$5=""""), """", IF(ISNUMBER(MATCH(AV$5, IFERROR(FILTER('MASTER LIST'!$N$2:$AB$294, 'MASTER LIST'!$A$2:$A$294=$A33), """"), 0)), ""Y"", """"))"),"")</f>
        <v/>
      </c>
      <c r="AW33" s="92" t="str">
        <f>IFERROR(__xludf.DUMMYFUNCTION("IF(OR($A33="""", AW$5=""""), """", IF(ISNUMBER(MATCH(AW$5, IFERROR(FILTER('MASTER LIST'!$N$2:$AB$294, 'MASTER LIST'!$A$2:$A$294=$A33), """"), 0)), ""Y"", """"))"),"")</f>
        <v/>
      </c>
      <c r="AX33" s="92" t="str">
        <f>IFERROR(__xludf.DUMMYFUNCTION("IF(OR($A33="""", AX$5=""""), """", IF(ISNUMBER(MATCH(AX$5, IFERROR(FILTER('MASTER LIST'!$N$2:$AB$294, 'MASTER LIST'!$A$2:$A$294=$A33), """"), 0)), ""Y"", """"))"),"")</f>
        <v/>
      </c>
      <c r="AY33" s="92" t="str">
        <f>IFERROR(__xludf.DUMMYFUNCTION("IF(OR($A33="""", AY$5=""""), """", IF(ISNUMBER(MATCH(AY$5, IFERROR(FILTER('MASTER LIST'!$N$2:$AB$294, 'MASTER LIST'!$A$2:$A$294=$A33), """"), 0)), ""Y"", """"))"),"")</f>
        <v/>
      </c>
      <c r="AZ33" s="92" t="str">
        <f>IFERROR(__xludf.DUMMYFUNCTION("IF(OR($A33="""", AZ$5=""""), """", IF(ISNUMBER(MATCH(AZ$5, IFERROR(FILTER('MASTER LIST'!$N$2:$AB$294, 'MASTER LIST'!$A$2:$A$294=$A33), """"), 0)), ""Y"", """"))"),"")</f>
        <v/>
      </c>
      <c r="BA33" s="92" t="str">
        <f>IFERROR(__xludf.DUMMYFUNCTION("IF(OR($A33="""", BA$5=""""), """", IF(ISNUMBER(MATCH(BA$5, IFERROR(FILTER('MASTER LIST'!$N$2:$AB$294, 'MASTER LIST'!$A$2:$A$294=$A33), """"), 0)), ""Y"", """"))"),"")</f>
        <v/>
      </c>
      <c r="BB33" s="92" t="str">
        <f>IFERROR(__xludf.DUMMYFUNCTION("IF(OR($A33="""", BB$5=""""), """", IF(ISNUMBER(MATCH(BB$5, IFERROR(FILTER('MASTER LIST'!$N$2:$AB$294, 'MASTER LIST'!$A$2:$A$294=$A33), """"), 0)), ""Y"", """"))"),"")</f>
        <v/>
      </c>
      <c r="BC33" s="92" t="str">
        <f>IFERROR(__xludf.DUMMYFUNCTION("IF(OR($A33="""", BC$5=""""), """", IF(ISNUMBER(MATCH(BC$5, IFERROR(FILTER('MASTER LIST'!$N$2:$AB$294, 'MASTER LIST'!$A$2:$A$294=$A33), """"), 0)), ""Y"", """"))"),"")</f>
        <v/>
      </c>
      <c r="BD33" s="92" t="str">
        <f>IFERROR(__xludf.DUMMYFUNCTION("IF(OR($A33="""", BD$5=""""), """", IF(ISNUMBER(MATCH(BD$5, IFERROR(FILTER('MASTER LIST'!$N$2:$AB$294, 'MASTER LIST'!$A$2:$A$294=$A33), """"), 0)), ""Y"", """"))"),"")</f>
        <v/>
      </c>
      <c r="BE33" s="92" t="str">
        <f>IFERROR(__xludf.DUMMYFUNCTION("IF(OR($A33="""", BE$5=""""), """", IF(ISNUMBER(MATCH(BE$5, IFERROR(FILTER('MASTER LIST'!$N$2:$AB$294, 'MASTER LIST'!$A$2:$A$294=$A33), """"), 0)), ""Y"", """"))"),"")</f>
        <v/>
      </c>
      <c r="BF33" s="92" t="str">
        <f>IFERROR(__xludf.DUMMYFUNCTION("IF(OR($A33="""", BF$5=""""), """", IF(ISNUMBER(MATCH(BF$5, IFERROR(FILTER('MASTER LIST'!$N$2:$AB$294, 'MASTER LIST'!$A$2:$A$294=$A33), """"), 0)), ""Y"", """"))"),"")</f>
        <v/>
      </c>
      <c r="BG33" s="92" t="str">
        <f>IFERROR(__xludf.DUMMYFUNCTION("IF(OR($A33="""", BG$5=""""), """", IF(ISNUMBER(MATCH(BG$5, IFERROR(FILTER('MASTER LIST'!$N$2:$AB$294, 'MASTER LIST'!$A$2:$A$294=$A33), """"), 0)), ""Y"", """"))"),"")</f>
        <v/>
      </c>
      <c r="BH33" s="92" t="str">
        <f>IFERROR(__xludf.DUMMYFUNCTION("IF(OR($A33="""", BH$5=""""), """", IF(ISNUMBER(MATCH(BH$5, IFERROR(FILTER('MASTER LIST'!$N$2:$AB$294, 'MASTER LIST'!$A$2:$A$294=$A33), """"), 0)), ""Y"", """"))"),"")</f>
        <v/>
      </c>
      <c r="BI33" s="92" t="str">
        <f>IFERROR(__xludf.DUMMYFUNCTION("IF(OR($A33="""", BI$5=""""), """", IF(ISNUMBER(MATCH(BI$5, IFERROR(FILTER('MASTER LIST'!$N$2:$AB$294, 'MASTER LIST'!$A$2:$A$294=$A33), """"), 0)), ""Y"", """"))"),"")</f>
        <v/>
      </c>
      <c r="BJ33" s="92" t="str">
        <f>IFERROR(__xludf.DUMMYFUNCTION("IF(OR($A33="""", BJ$5=""""), """", IF(ISNUMBER(MATCH(BJ$5, IFERROR(FILTER('MASTER LIST'!$N$2:$AB$294, 'MASTER LIST'!$A$2:$A$294=$A33), """"), 0)), ""Y"", """"))"),"")</f>
        <v/>
      </c>
      <c r="BK33" s="92" t="str">
        <f>IFERROR(__xludf.DUMMYFUNCTION("IF(OR($A33="""", BK$5=""""), """", IF(ISNUMBER(MATCH(BK$5, IFERROR(FILTER('MASTER LIST'!$N$2:$AB$294, 'MASTER LIST'!$A$2:$A$294=$A33), """"), 0)), ""Y"", """"))"),"")</f>
        <v/>
      </c>
      <c r="BL33" s="92" t="str">
        <f>IFERROR(__xludf.DUMMYFUNCTION("IF(OR($A33="""", BL$5=""""), """", IF(ISNUMBER(MATCH(BL$5, IFERROR(FILTER('MASTER LIST'!$N$2:$AB$294, 'MASTER LIST'!$A$2:$A$294=$A33), """"), 0)), ""Y"", """"))"),"")</f>
        <v/>
      </c>
      <c r="BM33" s="92" t="str">
        <f>IFERROR(__xludf.DUMMYFUNCTION("IF(OR($A33="""", BM$5=""""), """", IF(ISNUMBER(MATCH(BM$5, IFERROR(FILTER('MASTER LIST'!$N$2:$AB$294, 'MASTER LIST'!$A$2:$A$294=$A33), """"), 0)), ""Y"", """"))"),"")</f>
        <v/>
      </c>
      <c r="BN33" s="92" t="str">
        <f>IFERROR(__xludf.DUMMYFUNCTION("IF(OR($A33="""", BN$5=""""), """", IF(ISNUMBER(MATCH(BN$5, IFERROR(FILTER('MASTER LIST'!$N$2:$AB$294, 'MASTER LIST'!$A$2:$A$294=$A33), """"), 0)), ""Y"", """"))"),"")</f>
        <v/>
      </c>
      <c r="BO33" s="92" t="str">
        <f>IFERROR(__xludf.DUMMYFUNCTION("IF(OR($A33="""", BO$5=""""), """", IF(ISNUMBER(MATCH(BO$5, IFERROR(FILTER('MASTER LIST'!$N$2:$AB$294, 'MASTER LIST'!$A$2:$A$294=$A33), """"), 0)), ""Y"", """"))"),"")</f>
        <v/>
      </c>
      <c r="BP33" s="92" t="str">
        <f>IFERROR(__xludf.DUMMYFUNCTION("IF(OR($A33="""", BP$5=""""), """", IF(ISNUMBER(MATCH(BP$5, IFERROR(FILTER('MASTER LIST'!$N$2:$AB$294, 'MASTER LIST'!$A$2:$A$294=$A33), """"), 0)), ""Y"", """"))"),"")</f>
        <v/>
      </c>
      <c r="BQ33" s="92" t="str">
        <f>IFERROR(__xludf.DUMMYFUNCTION("IF(OR($A33="""", BQ$5=""""), """", IF(ISNUMBER(MATCH(BQ$5, IFERROR(FILTER('MASTER LIST'!$N$2:$AB$294, 'MASTER LIST'!$A$2:$A$294=$A33), """"), 0)), ""Y"", """"))"),"")</f>
        <v/>
      </c>
      <c r="BR33" s="92" t="str">
        <f>IFERROR(__xludf.DUMMYFUNCTION("IF(OR($A33="""", BR$5=""""), """", IF(ISNUMBER(MATCH(BR$5, IFERROR(FILTER('MASTER LIST'!$N$2:$AB$294, 'MASTER LIST'!$A$2:$A$294=$A33), """"), 0)), ""Y"", """"))"),"")</f>
        <v/>
      </c>
      <c r="BS33" s="92" t="str">
        <f>IFERROR(__xludf.DUMMYFUNCTION("IF(OR($A33="""", BS$5=""""), """", IF(ISNUMBER(MATCH(BS$5, IFERROR(FILTER('MASTER LIST'!$N$2:$AB$294, 'MASTER LIST'!$A$2:$A$294=$A33), """"), 0)), ""Y"", """"))"),"")</f>
        <v/>
      </c>
      <c r="BT33" s="92" t="str">
        <f>IFERROR(__xludf.DUMMYFUNCTION("IF(OR($A33="""", BT$5=""""), """", IF(ISNUMBER(MATCH(BT$5, IFERROR(FILTER('MASTER LIST'!$N$2:$AB$294, 'MASTER LIST'!$A$2:$A$294=$A33), """"), 0)), ""Y"", """"))"),"")</f>
        <v/>
      </c>
      <c r="BU33" s="92" t="str">
        <f>IFERROR(__xludf.DUMMYFUNCTION("IF(OR($A33="""", BU$5=""""), """", IF(ISNUMBER(MATCH(BU$5, IFERROR(FILTER('MASTER LIST'!$N$2:$AB$294, 'MASTER LIST'!$A$2:$A$294=$A33), """"), 0)), ""Y"", """"))"),"")</f>
        <v/>
      </c>
      <c r="BV33" s="92" t="str">
        <f>IFERROR(__xludf.DUMMYFUNCTION("IF(OR($A33="""", BV$5=""""), """", IF(ISNUMBER(MATCH(BV$5, IFERROR(FILTER('MASTER LIST'!$N$2:$AB$294, 'MASTER LIST'!$A$2:$A$294=$A33), """"), 0)), ""Y"", """"))"),"")</f>
        <v/>
      </c>
      <c r="BW33" s="92" t="str">
        <f>IFERROR(__xludf.DUMMYFUNCTION("IF(OR($A33="""", BW$5=""""), """", IF(ISNUMBER(MATCH(BW$5, IFERROR(FILTER('MASTER LIST'!$N$2:$AB$294, 'MASTER LIST'!$A$2:$A$294=$A33), """"), 0)), ""Y"", """"))"),"")</f>
        <v/>
      </c>
      <c r="BX33" s="92" t="str">
        <f>IFERROR(__xludf.DUMMYFUNCTION("IF(OR($A33="""", BX$5=""""), """", IF(ISNUMBER(MATCH(BX$5, IFERROR(FILTER('MASTER LIST'!$N$2:$AB$294, 'MASTER LIST'!$A$2:$A$294=$A33), """"), 0)), ""Y"", """"))"),"")</f>
        <v/>
      </c>
      <c r="BY33" s="92" t="str">
        <f>IFERROR(__xludf.DUMMYFUNCTION("IF(OR($A33="""", BY$5=""""), """", IF(ISNUMBER(MATCH(BY$5, IFERROR(FILTER('MASTER LIST'!$N$2:$AB$294, 'MASTER LIST'!$A$2:$A$294=$A33), """"), 0)), ""Y"", """"))"),"")</f>
        <v/>
      </c>
      <c r="BZ33" s="92" t="str">
        <f>IFERROR(__xludf.DUMMYFUNCTION("IF(OR($A33="""", BZ$5=""""), """", IF(ISNUMBER(MATCH(BZ$5, IFERROR(FILTER('MASTER LIST'!$N$2:$AB$294, 'MASTER LIST'!$A$2:$A$294=$A33), """"), 0)), ""Y"", """"))"),"")</f>
        <v/>
      </c>
      <c r="CA33" s="92" t="str">
        <f>IFERROR(__xludf.DUMMYFUNCTION("IF(OR($A33="""", CA$5=""""), """", IF(ISNUMBER(MATCH(CA$5, IFERROR(FILTER('MASTER LIST'!$N$2:$AB$294, 'MASTER LIST'!$A$2:$A$294=$A33), """"), 0)), ""Y"", """"))"),"")</f>
        <v/>
      </c>
      <c r="CB33" s="92" t="str">
        <f>IFERROR(__xludf.DUMMYFUNCTION("IF(OR($A33="""", CB$5=""""), """", IF(ISNUMBER(MATCH(CB$5, IFERROR(FILTER('MASTER LIST'!$N$2:$AB$294, 'MASTER LIST'!$A$2:$A$294=$A33), """"), 0)), ""Y"", """"))"),"")</f>
        <v/>
      </c>
      <c r="CC33" s="92"/>
      <c r="CD33" s="92"/>
      <c r="CE33" s="92"/>
      <c r="CF33" s="92"/>
      <c r="CG33" s="92"/>
      <c r="CH33" s="92"/>
      <c r="CI33" s="92"/>
      <c r="CJ33" s="92"/>
      <c r="CK33" s="92"/>
    </row>
    <row r="34">
      <c r="A34" s="75"/>
      <c r="B34" s="75"/>
      <c r="C34" s="75"/>
      <c r="D34" s="75"/>
      <c r="E34" s="75"/>
      <c r="F34" s="75"/>
      <c r="G34" s="92" t="str">
        <f>IFERROR(__xludf.DUMMYFUNCTION("IF(OR($A34="""", G$5=""""), """", IF(ISNUMBER(MATCH(G$5, IFERROR(FILTER('MASTER LIST'!$N$2:$AB$294, 'MASTER LIST'!$A$2:$A$294=$A34), """"), 0)), ""Y"", """"))"),"")</f>
        <v/>
      </c>
      <c r="H34" s="92" t="str">
        <f>IFERROR(__xludf.DUMMYFUNCTION("IF(OR($A34="""", H$5=""""), """", IF(ISNUMBER(MATCH(H$5, IFERROR(FILTER('MASTER LIST'!$N$2:$AB$294, 'MASTER LIST'!$A$2:$A$294=$A34), """"), 0)), ""Y"", """"))"),"")</f>
        <v/>
      </c>
      <c r="I34" s="92" t="str">
        <f>IFERROR(__xludf.DUMMYFUNCTION("IF(OR($A34="""", I$5=""""), """", IF(ISNUMBER(MATCH(I$5, IFERROR(FILTER('MASTER LIST'!$N$2:$AB$294, 'MASTER LIST'!$A$2:$A$294=$A34), """"), 0)), ""Y"", """"))"),"")</f>
        <v/>
      </c>
      <c r="J34" s="92" t="str">
        <f>IFERROR(__xludf.DUMMYFUNCTION("IF(OR($A34="""", J$5=""""), """", IF(ISNUMBER(MATCH(J$5, IFERROR(FILTER('MASTER LIST'!$N$2:$AB$294, 'MASTER LIST'!$A$2:$A$294=$A34), """"), 0)), ""Y"", """"))"),"")</f>
        <v/>
      </c>
      <c r="K34" s="92" t="str">
        <f>IFERROR(__xludf.DUMMYFUNCTION("IF(OR($A34="""", K$5=""""), """", IF(ISNUMBER(MATCH(K$5, IFERROR(FILTER('MASTER LIST'!$N$2:$AB$294, 'MASTER LIST'!$A$2:$A$294=$A34), """"), 0)), ""Y"", """"))"),"")</f>
        <v/>
      </c>
      <c r="L34" s="92" t="str">
        <f>IFERROR(__xludf.DUMMYFUNCTION("IF(OR($A34="""", L$5=""""), """", IF(ISNUMBER(MATCH(L$5, IFERROR(FILTER('MASTER LIST'!$N$2:$AB$294, 'MASTER LIST'!$A$2:$A$294=$A34), """"), 0)), ""Y"", """"))"),"")</f>
        <v/>
      </c>
      <c r="M34" s="92" t="str">
        <f>IFERROR(__xludf.DUMMYFUNCTION("IF(OR($A34="""", M$5=""""), """", IF(ISNUMBER(MATCH(M$5, IFERROR(FILTER('MASTER LIST'!$N$2:$AB$294, 'MASTER LIST'!$A$2:$A$294=$A34), """"), 0)), ""Y"", """"))"),"")</f>
        <v/>
      </c>
      <c r="N34" s="92" t="str">
        <f>IFERROR(__xludf.DUMMYFUNCTION("IF(OR($A34="""", N$5=""""), """", IF(ISNUMBER(MATCH(N$5, IFERROR(FILTER('MASTER LIST'!$N$2:$AB$294, 'MASTER LIST'!$A$2:$A$294=$A34), """"), 0)), ""Y"", """"))"),"")</f>
        <v/>
      </c>
      <c r="O34" s="92" t="str">
        <f>IFERROR(__xludf.DUMMYFUNCTION("IF(OR($A34="""", O$5=""""), """", IF(ISNUMBER(MATCH(O$5, IFERROR(FILTER('MASTER LIST'!$N$2:$AB$294, 'MASTER LIST'!$A$2:$A$294=$A34), """"), 0)), ""Y"", """"))"),"")</f>
        <v/>
      </c>
      <c r="P34" s="92" t="str">
        <f>IFERROR(__xludf.DUMMYFUNCTION("IF(OR($A34="""", P$5=""""), """", IF(ISNUMBER(MATCH(P$5, IFERROR(FILTER('MASTER LIST'!$N$2:$AB$294, 'MASTER LIST'!$A$2:$A$294=$A34), """"), 0)), ""Y"", """"))"),"")</f>
        <v/>
      </c>
      <c r="Q34" s="92" t="str">
        <f>IFERROR(__xludf.DUMMYFUNCTION("IF(OR($A34="""", Q$5=""""), """", IF(ISNUMBER(MATCH(Q$5, IFERROR(FILTER('MASTER LIST'!$N$2:$AB$294, 'MASTER LIST'!$A$2:$A$294=$A34), """"), 0)), ""Y"", """"))"),"")</f>
        <v/>
      </c>
      <c r="R34" s="92" t="str">
        <f>IFERROR(__xludf.DUMMYFUNCTION("IF(OR($A34="""", R$5=""""), """", IF(ISNUMBER(MATCH(R$5, IFERROR(FILTER('MASTER LIST'!$N$2:$AB$294, 'MASTER LIST'!$A$2:$A$294=$A34), """"), 0)), ""Y"", """"))"),"")</f>
        <v/>
      </c>
      <c r="S34" s="92" t="str">
        <f>IFERROR(__xludf.DUMMYFUNCTION("IF(OR($A34="""", S$5=""""), """", IF(ISNUMBER(MATCH(S$5, IFERROR(FILTER('MASTER LIST'!$N$2:$AB$294, 'MASTER LIST'!$A$2:$A$294=$A34), """"), 0)), ""Y"", """"))"),"")</f>
        <v/>
      </c>
      <c r="T34" s="92" t="str">
        <f>IFERROR(__xludf.DUMMYFUNCTION("IF(OR($A34="""", T$5=""""), """", IF(ISNUMBER(MATCH(T$5, IFERROR(FILTER('MASTER LIST'!$N$2:$AB$294, 'MASTER LIST'!$A$2:$A$294=$A34), """"), 0)), ""Y"", """"))"),"")</f>
        <v/>
      </c>
      <c r="U34" s="92" t="str">
        <f>IFERROR(__xludf.DUMMYFUNCTION("IF(OR($A34="""", U$5=""""), """", IF(ISNUMBER(MATCH(U$5, IFERROR(FILTER('MASTER LIST'!$N$2:$AB$294, 'MASTER LIST'!$A$2:$A$294=$A34), """"), 0)), ""Y"", """"))"),"")</f>
        <v/>
      </c>
      <c r="V34" s="92" t="str">
        <f>IFERROR(__xludf.DUMMYFUNCTION("IF(OR($A34="""", V$5=""""), """", IF(ISNUMBER(MATCH(V$5, IFERROR(FILTER('MASTER LIST'!$N$2:$AB$294, 'MASTER LIST'!$A$2:$A$294=$A34), """"), 0)), ""Y"", """"))"),"")</f>
        <v/>
      </c>
      <c r="W34" s="92" t="str">
        <f>IFERROR(__xludf.DUMMYFUNCTION("IF(OR($A34="""", W$5=""""), """", IF(ISNUMBER(MATCH(W$5, IFERROR(FILTER('MASTER LIST'!$N$2:$AB$294, 'MASTER LIST'!$A$2:$A$294=$A34), """"), 0)), ""Y"", """"))"),"")</f>
        <v/>
      </c>
      <c r="X34" s="92" t="str">
        <f>IFERROR(__xludf.DUMMYFUNCTION("IF(OR($A34="""", X$5=""""), """", IF(ISNUMBER(MATCH(X$5, IFERROR(FILTER('MASTER LIST'!$N$2:$AB$294, 'MASTER LIST'!$A$2:$A$294=$A34), """"), 0)), ""Y"", """"))"),"")</f>
        <v/>
      </c>
      <c r="Y34" s="92" t="str">
        <f>IFERROR(__xludf.DUMMYFUNCTION("IF(OR($A34="""", Y$5=""""), """", IF(ISNUMBER(MATCH(Y$5, IFERROR(FILTER('MASTER LIST'!$N$2:$AB$294, 'MASTER LIST'!$A$2:$A$294=$A34), """"), 0)), ""Y"", """"))"),"")</f>
        <v/>
      </c>
      <c r="Z34" s="92" t="str">
        <f>IFERROR(__xludf.DUMMYFUNCTION("IF(OR($A34="""", Z$5=""""), """", IF(ISNUMBER(MATCH(Z$5, IFERROR(FILTER('MASTER LIST'!$N$2:$AB$294, 'MASTER LIST'!$A$2:$A$294=$A34), """"), 0)), ""Y"", """"))"),"")</f>
        <v/>
      </c>
      <c r="AA34" s="92" t="str">
        <f>IFERROR(__xludf.DUMMYFUNCTION("IF(OR($A34="""", AA$5=""""), """", IF(ISNUMBER(MATCH(AA$5, IFERROR(FILTER('MASTER LIST'!$N$2:$AB$294, 'MASTER LIST'!$A$2:$A$294=$A34), """"), 0)), ""Y"", """"))"),"")</f>
        <v/>
      </c>
      <c r="AB34" s="92" t="str">
        <f>IFERROR(__xludf.DUMMYFUNCTION("IF(OR($A34="""", AB$5=""""), """", IF(ISNUMBER(MATCH(AB$5, IFERROR(FILTER('MASTER LIST'!$N$2:$AB$294, 'MASTER LIST'!$A$2:$A$294=$A34), """"), 0)), ""Y"", """"))"),"")</f>
        <v/>
      </c>
      <c r="AC34" s="92" t="str">
        <f>IFERROR(__xludf.DUMMYFUNCTION("IF(OR($A34="""", AC$5=""""), """", IF(ISNUMBER(MATCH(AC$5, IFERROR(FILTER('MASTER LIST'!$N$2:$AB$294, 'MASTER LIST'!$A$2:$A$294=$A34), """"), 0)), ""Y"", """"))"),"")</f>
        <v/>
      </c>
      <c r="AD34" s="92" t="str">
        <f>IFERROR(__xludf.DUMMYFUNCTION("IF(OR($A34="""", AD$5=""""), """", IF(ISNUMBER(MATCH(AD$5, IFERROR(FILTER('MASTER LIST'!$N$2:$AB$294, 'MASTER LIST'!$A$2:$A$294=$A34), """"), 0)), ""Y"", """"))"),"")</f>
        <v/>
      </c>
      <c r="AE34" s="92" t="str">
        <f>IFERROR(__xludf.DUMMYFUNCTION("IF(OR($A34="""", AE$5=""""), """", IF(ISNUMBER(MATCH(AE$5, IFERROR(FILTER('MASTER LIST'!$N$2:$AB$294, 'MASTER LIST'!$A$2:$A$294=$A34), """"), 0)), ""Y"", """"))"),"")</f>
        <v/>
      </c>
      <c r="AF34" s="92" t="str">
        <f>IFERROR(__xludf.DUMMYFUNCTION("IF(OR($A34="""", AF$5=""""), """", IF(ISNUMBER(MATCH(AF$5, IFERROR(FILTER('MASTER LIST'!$N$2:$AB$294, 'MASTER LIST'!$A$2:$A$294=$A34), """"), 0)), ""Y"", """"))"),"")</f>
        <v/>
      </c>
      <c r="AG34" s="92" t="str">
        <f>IFERROR(__xludf.DUMMYFUNCTION("IF(OR($A34="""", AG$5=""""), """", IF(ISNUMBER(MATCH(AG$5, IFERROR(FILTER('MASTER LIST'!$N$2:$AB$294, 'MASTER LIST'!$A$2:$A$294=$A34), """"), 0)), ""Y"", """"))"),"")</f>
        <v/>
      </c>
      <c r="AH34" s="92" t="str">
        <f>IFERROR(__xludf.DUMMYFUNCTION("IF(OR($A34="""", AH$5=""""), """", IF(ISNUMBER(MATCH(AH$5, IFERROR(FILTER('MASTER LIST'!$N$2:$AB$294, 'MASTER LIST'!$A$2:$A$294=$A34), """"), 0)), ""Y"", """"))"),"")</f>
        <v/>
      </c>
      <c r="AI34" s="92" t="str">
        <f>IFERROR(__xludf.DUMMYFUNCTION("IF(OR($A34="""", AI$5=""""), """", IF(ISNUMBER(MATCH(AI$5, IFERROR(FILTER('MASTER LIST'!$N$2:$AB$294, 'MASTER LIST'!$A$2:$A$294=$A34), """"), 0)), ""Y"", """"))"),"")</f>
        <v/>
      </c>
      <c r="AJ34" s="92" t="str">
        <f>IFERROR(__xludf.DUMMYFUNCTION("IF(OR($A34="""", AJ$5=""""), """", IF(ISNUMBER(MATCH(AJ$5, IFERROR(FILTER('MASTER LIST'!$N$2:$AB$294, 'MASTER LIST'!$A$2:$A$294=$A34), """"), 0)), ""Y"", """"))"),"")</f>
        <v/>
      </c>
      <c r="AK34" s="92" t="str">
        <f>IFERROR(__xludf.DUMMYFUNCTION("IF(OR($A34="""", AK$5=""""), """", IF(ISNUMBER(MATCH(AK$5, IFERROR(FILTER('MASTER LIST'!$N$2:$AB$294, 'MASTER LIST'!$A$2:$A$294=$A34), """"), 0)), ""Y"", """"))"),"")</f>
        <v/>
      </c>
      <c r="AL34" s="92" t="str">
        <f>IFERROR(__xludf.DUMMYFUNCTION("IF(OR($A34="""", AL$5=""""), """", IF(ISNUMBER(MATCH(AL$5, IFERROR(FILTER('MASTER LIST'!$N$2:$AB$294, 'MASTER LIST'!$A$2:$A$294=$A34), """"), 0)), ""Y"", """"))"),"")</f>
        <v/>
      </c>
      <c r="AM34" s="92" t="str">
        <f>IFERROR(__xludf.DUMMYFUNCTION("IF(OR($A34="""", AM$5=""""), """", IF(ISNUMBER(MATCH(AM$5, IFERROR(FILTER('MASTER LIST'!$N$2:$AB$294, 'MASTER LIST'!$A$2:$A$294=$A34), """"), 0)), ""Y"", """"))"),"")</f>
        <v/>
      </c>
      <c r="AN34" s="92" t="str">
        <f>IFERROR(__xludf.DUMMYFUNCTION("IF(OR($A34="""", AN$5=""""), """", IF(ISNUMBER(MATCH(AN$5, IFERROR(FILTER('MASTER LIST'!$N$2:$AB$294, 'MASTER LIST'!$A$2:$A$294=$A34), """"), 0)), ""Y"", """"))"),"")</f>
        <v/>
      </c>
      <c r="AO34" s="92" t="str">
        <f>IFERROR(__xludf.DUMMYFUNCTION("IF(OR($A34="""", AO$5=""""), """", IF(ISNUMBER(MATCH(AO$5, IFERROR(FILTER('MASTER LIST'!$N$2:$AB$294, 'MASTER LIST'!$A$2:$A$294=$A34), """"), 0)), ""Y"", """"))"),"")</f>
        <v/>
      </c>
      <c r="AP34" s="92" t="str">
        <f>IFERROR(__xludf.DUMMYFUNCTION("IF(OR($A34="""", AP$5=""""), """", IF(ISNUMBER(MATCH(AP$5, IFERROR(FILTER('MASTER LIST'!$N$2:$AB$294, 'MASTER LIST'!$A$2:$A$294=$A34), """"), 0)), ""Y"", """"))"),"")</f>
        <v/>
      </c>
      <c r="AQ34" s="92" t="str">
        <f>IFERROR(__xludf.DUMMYFUNCTION("IF(OR($A34="""", AQ$5=""""), """", IF(ISNUMBER(MATCH(AQ$5, IFERROR(FILTER('MASTER LIST'!$N$2:$AB$294, 'MASTER LIST'!$A$2:$A$294=$A34), """"), 0)), ""Y"", """"))"),"")</f>
        <v/>
      </c>
      <c r="AR34" s="92" t="str">
        <f>IFERROR(__xludf.DUMMYFUNCTION("IF(OR($A34="""", AR$5=""""), """", IF(ISNUMBER(MATCH(AR$5, IFERROR(FILTER('MASTER LIST'!$N$2:$AB$294, 'MASTER LIST'!$A$2:$A$294=$A34), """"), 0)), ""Y"", """"))"),"")</f>
        <v/>
      </c>
      <c r="AS34" s="92" t="str">
        <f>IFERROR(__xludf.DUMMYFUNCTION("IF(OR($A34="""", AS$5=""""), """", IF(ISNUMBER(MATCH(AS$5, IFERROR(FILTER('MASTER LIST'!$N$2:$AB$294, 'MASTER LIST'!$A$2:$A$294=$A34), """"), 0)), ""Y"", """"))"),"")</f>
        <v/>
      </c>
      <c r="AT34" s="92" t="str">
        <f>IFERROR(__xludf.DUMMYFUNCTION("IF(OR($A34="""", AT$5=""""), """", IF(ISNUMBER(MATCH(AT$5, IFERROR(FILTER('MASTER LIST'!$N$2:$AB$294, 'MASTER LIST'!$A$2:$A$294=$A34), """"), 0)), ""Y"", """"))"),"")</f>
        <v/>
      </c>
      <c r="AU34" s="92" t="str">
        <f>IFERROR(__xludf.DUMMYFUNCTION("IF(OR($A34="""", AU$5=""""), """", IF(ISNUMBER(MATCH(AU$5, IFERROR(FILTER('MASTER LIST'!$N$2:$AB$294, 'MASTER LIST'!$A$2:$A$294=$A34), """"), 0)), ""Y"", """"))"),"")</f>
        <v/>
      </c>
      <c r="AV34" s="92" t="str">
        <f>IFERROR(__xludf.DUMMYFUNCTION("IF(OR($A34="""", AV$5=""""), """", IF(ISNUMBER(MATCH(AV$5, IFERROR(FILTER('MASTER LIST'!$N$2:$AB$294, 'MASTER LIST'!$A$2:$A$294=$A34), """"), 0)), ""Y"", """"))"),"")</f>
        <v/>
      </c>
      <c r="AW34" s="92" t="str">
        <f>IFERROR(__xludf.DUMMYFUNCTION("IF(OR($A34="""", AW$5=""""), """", IF(ISNUMBER(MATCH(AW$5, IFERROR(FILTER('MASTER LIST'!$N$2:$AB$294, 'MASTER LIST'!$A$2:$A$294=$A34), """"), 0)), ""Y"", """"))"),"")</f>
        <v/>
      </c>
      <c r="AX34" s="92" t="str">
        <f>IFERROR(__xludf.DUMMYFUNCTION("IF(OR($A34="""", AX$5=""""), """", IF(ISNUMBER(MATCH(AX$5, IFERROR(FILTER('MASTER LIST'!$N$2:$AB$294, 'MASTER LIST'!$A$2:$A$294=$A34), """"), 0)), ""Y"", """"))"),"")</f>
        <v/>
      </c>
      <c r="AY34" s="92" t="str">
        <f>IFERROR(__xludf.DUMMYFUNCTION("IF(OR($A34="""", AY$5=""""), """", IF(ISNUMBER(MATCH(AY$5, IFERROR(FILTER('MASTER LIST'!$N$2:$AB$294, 'MASTER LIST'!$A$2:$A$294=$A34), """"), 0)), ""Y"", """"))"),"")</f>
        <v/>
      </c>
      <c r="AZ34" s="92" t="str">
        <f>IFERROR(__xludf.DUMMYFUNCTION("IF(OR($A34="""", AZ$5=""""), """", IF(ISNUMBER(MATCH(AZ$5, IFERROR(FILTER('MASTER LIST'!$N$2:$AB$294, 'MASTER LIST'!$A$2:$A$294=$A34), """"), 0)), ""Y"", """"))"),"")</f>
        <v/>
      </c>
      <c r="BA34" s="92" t="str">
        <f>IFERROR(__xludf.DUMMYFUNCTION("IF(OR($A34="""", BA$5=""""), """", IF(ISNUMBER(MATCH(BA$5, IFERROR(FILTER('MASTER LIST'!$N$2:$AB$294, 'MASTER LIST'!$A$2:$A$294=$A34), """"), 0)), ""Y"", """"))"),"")</f>
        <v/>
      </c>
      <c r="BB34" s="92" t="str">
        <f>IFERROR(__xludf.DUMMYFUNCTION("IF(OR($A34="""", BB$5=""""), """", IF(ISNUMBER(MATCH(BB$5, IFERROR(FILTER('MASTER LIST'!$N$2:$AB$294, 'MASTER LIST'!$A$2:$A$294=$A34), """"), 0)), ""Y"", """"))"),"")</f>
        <v/>
      </c>
      <c r="BC34" s="92" t="str">
        <f>IFERROR(__xludf.DUMMYFUNCTION("IF(OR($A34="""", BC$5=""""), """", IF(ISNUMBER(MATCH(BC$5, IFERROR(FILTER('MASTER LIST'!$N$2:$AB$294, 'MASTER LIST'!$A$2:$A$294=$A34), """"), 0)), ""Y"", """"))"),"")</f>
        <v/>
      </c>
      <c r="BD34" s="92" t="str">
        <f>IFERROR(__xludf.DUMMYFUNCTION("IF(OR($A34="""", BD$5=""""), """", IF(ISNUMBER(MATCH(BD$5, IFERROR(FILTER('MASTER LIST'!$N$2:$AB$294, 'MASTER LIST'!$A$2:$A$294=$A34), """"), 0)), ""Y"", """"))"),"")</f>
        <v/>
      </c>
      <c r="BE34" s="92" t="str">
        <f>IFERROR(__xludf.DUMMYFUNCTION("IF(OR($A34="""", BE$5=""""), """", IF(ISNUMBER(MATCH(BE$5, IFERROR(FILTER('MASTER LIST'!$N$2:$AB$294, 'MASTER LIST'!$A$2:$A$294=$A34), """"), 0)), ""Y"", """"))"),"")</f>
        <v/>
      </c>
      <c r="BF34" s="92" t="str">
        <f>IFERROR(__xludf.DUMMYFUNCTION("IF(OR($A34="""", BF$5=""""), """", IF(ISNUMBER(MATCH(BF$5, IFERROR(FILTER('MASTER LIST'!$N$2:$AB$294, 'MASTER LIST'!$A$2:$A$294=$A34), """"), 0)), ""Y"", """"))"),"")</f>
        <v/>
      </c>
      <c r="BG34" s="92" t="str">
        <f>IFERROR(__xludf.DUMMYFUNCTION("IF(OR($A34="""", BG$5=""""), """", IF(ISNUMBER(MATCH(BG$5, IFERROR(FILTER('MASTER LIST'!$N$2:$AB$294, 'MASTER LIST'!$A$2:$A$294=$A34), """"), 0)), ""Y"", """"))"),"")</f>
        <v/>
      </c>
      <c r="BH34" s="92" t="str">
        <f>IFERROR(__xludf.DUMMYFUNCTION("IF(OR($A34="""", BH$5=""""), """", IF(ISNUMBER(MATCH(BH$5, IFERROR(FILTER('MASTER LIST'!$N$2:$AB$294, 'MASTER LIST'!$A$2:$A$294=$A34), """"), 0)), ""Y"", """"))"),"")</f>
        <v/>
      </c>
      <c r="BI34" s="92" t="str">
        <f>IFERROR(__xludf.DUMMYFUNCTION("IF(OR($A34="""", BI$5=""""), """", IF(ISNUMBER(MATCH(BI$5, IFERROR(FILTER('MASTER LIST'!$N$2:$AB$294, 'MASTER LIST'!$A$2:$A$294=$A34), """"), 0)), ""Y"", """"))"),"")</f>
        <v/>
      </c>
      <c r="BJ34" s="92" t="str">
        <f>IFERROR(__xludf.DUMMYFUNCTION("IF(OR($A34="""", BJ$5=""""), """", IF(ISNUMBER(MATCH(BJ$5, IFERROR(FILTER('MASTER LIST'!$N$2:$AB$294, 'MASTER LIST'!$A$2:$A$294=$A34), """"), 0)), ""Y"", """"))"),"")</f>
        <v/>
      </c>
      <c r="BK34" s="92" t="str">
        <f>IFERROR(__xludf.DUMMYFUNCTION("IF(OR($A34="""", BK$5=""""), """", IF(ISNUMBER(MATCH(BK$5, IFERROR(FILTER('MASTER LIST'!$N$2:$AB$294, 'MASTER LIST'!$A$2:$A$294=$A34), """"), 0)), ""Y"", """"))"),"")</f>
        <v/>
      </c>
      <c r="BL34" s="92" t="str">
        <f>IFERROR(__xludf.DUMMYFUNCTION("IF(OR($A34="""", BL$5=""""), """", IF(ISNUMBER(MATCH(BL$5, IFERROR(FILTER('MASTER LIST'!$N$2:$AB$294, 'MASTER LIST'!$A$2:$A$294=$A34), """"), 0)), ""Y"", """"))"),"")</f>
        <v/>
      </c>
      <c r="BM34" s="92" t="str">
        <f>IFERROR(__xludf.DUMMYFUNCTION("IF(OR($A34="""", BM$5=""""), """", IF(ISNUMBER(MATCH(BM$5, IFERROR(FILTER('MASTER LIST'!$N$2:$AB$294, 'MASTER LIST'!$A$2:$A$294=$A34), """"), 0)), ""Y"", """"))"),"")</f>
        <v/>
      </c>
      <c r="BN34" s="92" t="str">
        <f>IFERROR(__xludf.DUMMYFUNCTION("IF(OR($A34="""", BN$5=""""), """", IF(ISNUMBER(MATCH(BN$5, IFERROR(FILTER('MASTER LIST'!$N$2:$AB$294, 'MASTER LIST'!$A$2:$A$294=$A34), """"), 0)), ""Y"", """"))"),"")</f>
        <v/>
      </c>
      <c r="BO34" s="92" t="str">
        <f>IFERROR(__xludf.DUMMYFUNCTION("IF(OR($A34="""", BO$5=""""), """", IF(ISNUMBER(MATCH(BO$5, IFERROR(FILTER('MASTER LIST'!$N$2:$AB$294, 'MASTER LIST'!$A$2:$A$294=$A34), """"), 0)), ""Y"", """"))"),"")</f>
        <v/>
      </c>
      <c r="BP34" s="92" t="str">
        <f>IFERROR(__xludf.DUMMYFUNCTION("IF(OR($A34="""", BP$5=""""), """", IF(ISNUMBER(MATCH(BP$5, IFERROR(FILTER('MASTER LIST'!$N$2:$AB$294, 'MASTER LIST'!$A$2:$A$294=$A34), """"), 0)), ""Y"", """"))"),"")</f>
        <v/>
      </c>
      <c r="BQ34" s="92" t="str">
        <f>IFERROR(__xludf.DUMMYFUNCTION("IF(OR($A34="""", BQ$5=""""), """", IF(ISNUMBER(MATCH(BQ$5, IFERROR(FILTER('MASTER LIST'!$N$2:$AB$294, 'MASTER LIST'!$A$2:$A$294=$A34), """"), 0)), ""Y"", """"))"),"")</f>
        <v/>
      </c>
      <c r="BR34" s="92" t="str">
        <f>IFERROR(__xludf.DUMMYFUNCTION("IF(OR($A34="""", BR$5=""""), """", IF(ISNUMBER(MATCH(BR$5, IFERROR(FILTER('MASTER LIST'!$N$2:$AB$294, 'MASTER LIST'!$A$2:$A$294=$A34), """"), 0)), ""Y"", """"))"),"")</f>
        <v/>
      </c>
      <c r="BS34" s="92" t="str">
        <f>IFERROR(__xludf.DUMMYFUNCTION("IF(OR($A34="""", BS$5=""""), """", IF(ISNUMBER(MATCH(BS$5, IFERROR(FILTER('MASTER LIST'!$N$2:$AB$294, 'MASTER LIST'!$A$2:$A$294=$A34), """"), 0)), ""Y"", """"))"),"")</f>
        <v/>
      </c>
      <c r="BT34" s="92" t="str">
        <f>IFERROR(__xludf.DUMMYFUNCTION("IF(OR($A34="""", BT$5=""""), """", IF(ISNUMBER(MATCH(BT$5, IFERROR(FILTER('MASTER LIST'!$N$2:$AB$294, 'MASTER LIST'!$A$2:$A$294=$A34), """"), 0)), ""Y"", """"))"),"")</f>
        <v/>
      </c>
      <c r="BU34" s="92" t="str">
        <f>IFERROR(__xludf.DUMMYFUNCTION("IF(OR($A34="""", BU$5=""""), """", IF(ISNUMBER(MATCH(BU$5, IFERROR(FILTER('MASTER LIST'!$N$2:$AB$294, 'MASTER LIST'!$A$2:$A$294=$A34), """"), 0)), ""Y"", """"))"),"")</f>
        <v/>
      </c>
      <c r="BV34" s="92" t="str">
        <f>IFERROR(__xludf.DUMMYFUNCTION("IF(OR($A34="""", BV$5=""""), """", IF(ISNUMBER(MATCH(BV$5, IFERROR(FILTER('MASTER LIST'!$N$2:$AB$294, 'MASTER LIST'!$A$2:$A$294=$A34), """"), 0)), ""Y"", """"))"),"")</f>
        <v/>
      </c>
      <c r="BW34" s="92" t="str">
        <f>IFERROR(__xludf.DUMMYFUNCTION("IF(OR($A34="""", BW$5=""""), """", IF(ISNUMBER(MATCH(BW$5, IFERROR(FILTER('MASTER LIST'!$N$2:$AB$294, 'MASTER LIST'!$A$2:$A$294=$A34), """"), 0)), ""Y"", """"))"),"")</f>
        <v/>
      </c>
      <c r="BX34" s="92" t="str">
        <f>IFERROR(__xludf.DUMMYFUNCTION("IF(OR($A34="""", BX$5=""""), """", IF(ISNUMBER(MATCH(BX$5, IFERROR(FILTER('MASTER LIST'!$N$2:$AB$294, 'MASTER LIST'!$A$2:$A$294=$A34), """"), 0)), ""Y"", """"))"),"")</f>
        <v/>
      </c>
      <c r="BY34" s="92" t="str">
        <f>IFERROR(__xludf.DUMMYFUNCTION("IF(OR($A34="""", BY$5=""""), """", IF(ISNUMBER(MATCH(BY$5, IFERROR(FILTER('MASTER LIST'!$N$2:$AB$294, 'MASTER LIST'!$A$2:$A$294=$A34), """"), 0)), ""Y"", """"))"),"")</f>
        <v/>
      </c>
      <c r="BZ34" s="92" t="str">
        <f>IFERROR(__xludf.DUMMYFUNCTION("IF(OR($A34="""", BZ$5=""""), """", IF(ISNUMBER(MATCH(BZ$5, IFERROR(FILTER('MASTER LIST'!$N$2:$AB$294, 'MASTER LIST'!$A$2:$A$294=$A34), """"), 0)), ""Y"", """"))"),"")</f>
        <v/>
      </c>
      <c r="CA34" s="92" t="str">
        <f>IFERROR(__xludf.DUMMYFUNCTION("IF(OR($A34="""", CA$5=""""), """", IF(ISNUMBER(MATCH(CA$5, IFERROR(FILTER('MASTER LIST'!$N$2:$AB$294, 'MASTER LIST'!$A$2:$A$294=$A34), """"), 0)), ""Y"", """"))"),"")</f>
        <v/>
      </c>
      <c r="CB34" s="92" t="str">
        <f>IFERROR(__xludf.DUMMYFUNCTION("IF(OR($A34="""", CB$5=""""), """", IF(ISNUMBER(MATCH(CB$5, IFERROR(FILTER('MASTER LIST'!$N$2:$AB$294, 'MASTER LIST'!$A$2:$A$294=$A34), """"), 0)), ""Y"", """"))"),"")</f>
        <v/>
      </c>
      <c r="CC34" s="92"/>
      <c r="CD34" s="92"/>
      <c r="CE34" s="92"/>
      <c r="CF34" s="92"/>
      <c r="CG34" s="92"/>
      <c r="CH34" s="92"/>
      <c r="CI34" s="92"/>
      <c r="CJ34" s="92"/>
      <c r="CK34" s="92"/>
    </row>
    <row r="35">
      <c r="A35" s="75"/>
      <c r="B35" s="75"/>
      <c r="C35" s="75"/>
      <c r="D35" s="75"/>
      <c r="E35" s="75"/>
      <c r="F35" s="75"/>
      <c r="G35" s="92" t="str">
        <f>IFERROR(__xludf.DUMMYFUNCTION("IF(OR($A35="""", G$5=""""), """", IF(ISNUMBER(MATCH(G$5, IFERROR(FILTER('MASTER LIST'!$N$2:$AB$294, 'MASTER LIST'!$A$2:$A$294=$A35), """"), 0)), ""Y"", """"))"),"")</f>
        <v/>
      </c>
      <c r="H35" s="92" t="str">
        <f>IFERROR(__xludf.DUMMYFUNCTION("IF(OR($A35="""", H$5=""""), """", IF(ISNUMBER(MATCH(H$5, IFERROR(FILTER('MASTER LIST'!$N$2:$AB$294, 'MASTER LIST'!$A$2:$A$294=$A35), """"), 0)), ""Y"", """"))"),"")</f>
        <v/>
      </c>
      <c r="I35" s="92" t="str">
        <f>IFERROR(__xludf.DUMMYFUNCTION("IF(OR($A35="""", I$5=""""), """", IF(ISNUMBER(MATCH(I$5, IFERROR(FILTER('MASTER LIST'!$N$2:$AB$294, 'MASTER LIST'!$A$2:$A$294=$A35), """"), 0)), ""Y"", """"))"),"")</f>
        <v/>
      </c>
      <c r="J35" s="92" t="str">
        <f>IFERROR(__xludf.DUMMYFUNCTION("IF(OR($A35="""", J$5=""""), """", IF(ISNUMBER(MATCH(J$5, IFERROR(FILTER('MASTER LIST'!$N$2:$AB$294, 'MASTER LIST'!$A$2:$A$294=$A35), """"), 0)), ""Y"", """"))"),"")</f>
        <v/>
      </c>
      <c r="K35" s="92" t="str">
        <f>IFERROR(__xludf.DUMMYFUNCTION("IF(OR($A35="""", K$5=""""), """", IF(ISNUMBER(MATCH(K$5, IFERROR(FILTER('MASTER LIST'!$N$2:$AB$294, 'MASTER LIST'!$A$2:$A$294=$A35), """"), 0)), ""Y"", """"))"),"")</f>
        <v/>
      </c>
      <c r="L35" s="92" t="str">
        <f>IFERROR(__xludf.DUMMYFUNCTION("IF(OR($A35="""", L$5=""""), """", IF(ISNUMBER(MATCH(L$5, IFERROR(FILTER('MASTER LIST'!$N$2:$AB$294, 'MASTER LIST'!$A$2:$A$294=$A35), """"), 0)), ""Y"", """"))"),"")</f>
        <v/>
      </c>
      <c r="M35" s="92" t="str">
        <f>IFERROR(__xludf.DUMMYFUNCTION("IF(OR($A35="""", M$5=""""), """", IF(ISNUMBER(MATCH(M$5, IFERROR(FILTER('MASTER LIST'!$N$2:$AB$294, 'MASTER LIST'!$A$2:$A$294=$A35), """"), 0)), ""Y"", """"))"),"")</f>
        <v/>
      </c>
      <c r="N35" s="92" t="str">
        <f>IFERROR(__xludf.DUMMYFUNCTION("IF(OR($A35="""", N$5=""""), """", IF(ISNUMBER(MATCH(N$5, IFERROR(FILTER('MASTER LIST'!$N$2:$AB$294, 'MASTER LIST'!$A$2:$A$294=$A35), """"), 0)), ""Y"", """"))"),"")</f>
        <v/>
      </c>
      <c r="O35" s="92" t="str">
        <f>IFERROR(__xludf.DUMMYFUNCTION("IF(OR($A35="""", O$5=""""), """", IF(ISNUMBER(MATCH(O$5, IFERROR(FILTER('MASTER LIST'!$N$2:$AB$294, 'MASTER LIST'!$A$2:$A$294=$A35), """"), 0)), ""Y"", """"))"),"")</f>
        <v/>
      </c>
      <c r="P35" s="92" t="str">
        <f>IFERROR(__xludf.DUMMYFUNCTION("IF(OR($A35="""", P$5=""""), """", IF(ISNUMBER(MATCH(P$5, IFERROR(FILTER('MASTER LIST'!$N$2:$AB$294, 'MASTER LIST'!$A$2:$A$294=$A35), """"), 0)), ""Y"", """"))"),"")</f>
        <v/>
      </c>
      <c r="Q35" s="92" t="str">
        <f>IFERROR(__xludf.DUMMYFUNCTION("IF(OR($A35="""", Q$5=""""), """", IF(ISNUMBER(MATCH(Q$5, IFERROR(FILTER('MASTER LIST'!$N$2:$AB$294, 'MASTER LIST'!$A$2:$A$294=$A35), """"), 0)), ""Y"", """"))"),"")</f>
        <v/>
      </c>
      <c r="R35" s="92" t="str">
        <f>IFERROR(__xludf.DUMMYFUNCTION("IF(OR($A35="""", R$5=""""), """", IF(ISNUMBER(MATCH(R$5, IFERROR(FILTER('MASTER LIST'!$N$2:$AB$294, 'MASTER LIST'!$A$2:$A$294=$A35), """"), 0)), ""Y"", """"))"),"")</f>
        <v/>
      </c>
      <c r="S35" s="92" t="str">
        <f>IFERROR(__xludf.DUMMYFUNCTION("IF(OR($A35="""", S$5=""""), """", IF(ISNUMBER(MATCH(S$5, IFERROR(FILTER('MASTER LIST'!$N$2:$AB$294, 'MASTER LIST'!$A$2:$A$294=$A35), """"), 0)), ""Y"", """"))"),"")</f>
        <v/>
      </c>
      <c r="T35" s="92" t="str">
        <f>IFERROR(__xludf.DUMMYFUNCTION("IF(OR($A35="""", T$5=""""), """", IF(ISNUMBER(MATCH(T$5, IFERROR(FILTER('MASTER LIST'!$N$2:$AB$294, 'MASTER LIST'!$A$2:$A$294=$A35), """"), 0)), ""Y"", """"))"),"")</f>
        <v/>
      </c>
      <c r="U35" s="92" t="str">
        <f>IFERROR(__xludf.DUMMYFUNCTION("IF(OR($A35="""", U$5=""""), """", IF(ISNUMBER(MATCH(U$5, IFERROR(FILTER('MASTER LIST'!$N$2:$AB$294, 'MASTER LIST'!$A$2:$A$294=$A35), """"), 0)), ""Y"", """"))"),"")</f>
        <v/>
      </c>
      <c r="V35" s="92" t="str">
        <f>IFERROR(__xludf.DUMMYFUNCTION("IF(OR($A35="""", V$5=""""), """", IF(ISNUMBER(MATCH(V$5, IFERROR(FILTER('MASTER LIST'!$N$2:$AB$294, 'MASTER LIST'!$A$2:$A$294=$A35), """"), 0)), ""Y"", """"))"),"")</f>
        <v/>
      </c>
      <c r="W35" s="92" t="str">
        <f>IFERROR(__xludf.DUMMYFUNCTION("IF(OR($A35="""", W$5=""""), """", IF(ISNUMBER(MATCH(W$5, IFERROR(FILTER('MASTER LIST'!$N$2:$AB$294, 'MASTER LIST'!$A$2:$A$294=$A35), """"), 0)), ""Y"", """"))"),"")</f>
        <v/>
      </c>
      <c r="X35" s="92" t="str">
        <f>IFERROR(__xludf.DUMMYFUNCTION("IF(OR($A35="""", X$5=""""), """", IF(ISNUMBER(MATCH(X$5, IFERROR(FILTER('MASTER LIST'!$N$2:$AB$294, 'MASTER LIST'!$A$2:$A$294=$A35), """"), 0)), ""Y"", """"))"),"")</f>
        <v/>
      </c>
      <c r="Y35" s="92" t="str">
        <f>IFERROR(__xludf.DUMMYFUNCTION("IF(OR($A35="""", Y$5=""""), """", IF(ISNUMBER(MATCH(Y$5, IFERROR(FILTER('MASTER LIST'!$N$2:$AB$294, 'MASTER LIST'!$A$2:$A$294=$A35), """"), 0)), ""Y"", """"))"),"")</f>
        <v/>
      </c>
      <c r="Z35" s="92" t="str">
        <f>IFERROR(__xludf.DUMMYFUNCTION("IF(OR($A35="""", Z$5=""""), """", IF(ISNUMBER(MATCH(Z$5, IFERROR(FILTER('MASTER LIST'!$N$2:$AB$294, 'MASTER LIST'!$A$2:$A$294=$A35), """"), 0)), ""Y"", """"))"),"")</f>
        <v/>
      </c>
      <c r="AA35" s="92" t="str">
        <f>IFERROR(__xludf.DUMMYFUNCTION("IF(OR($A35="""", AA$5=""""), """", IF(ISNUMBER(MATCH(AA$5, IFERROR(FILTER('MASTER LIST'!$N$2:$AB$294, 'MASTER LIST'!$A$2:$A$294=$A35), """"), 0)), ""Y"", """"))"),"")</f>
        <v/>
      </c>
      <c r="AB35" s="92" t="str">
        <f>IFERROR(__xludf.DUMMYFUNCTION("IF(OR($A35="""", AB$5=""""), """", IF(ISNUMBER(MATCH(AB$5, IFERROR(FILTER('MASTER LIST'!$N$2:$AB$294, 'MASTER LIST'!$A$2:$A$294=$A35), """"), 0)), ""Y"", """"))"),"")</f>
        <v/>
      </c>
      <c r="AC35" s="92" t="str">
        <f>IFERROR(__xludf.DUMMYFUNCTION("IF(OR($A35="""", AC$5=""""), """", IF(ISNUMBER(MATCH(AC$5, IFERROR(FILTER('MASTER LIST'!$N$2:$AB$294, 'MASTER LIST'!$A$2:$A$294=$A35), """"), 0)), ""Y"", """"))"),"")</f>
        <v/>
      </c>
      <c r="AD35" s="92" t="str">
        <f>IFERROR(__xludf.DUMMYFUNCTION("IF(OR($A35="""", AD$5=""""), """", IF(ISNUMBER(MATCH(AD$5, IFERROR(FILTER('MASTER LIST'!$N$2:$AB$294, 'MASTER LIST'!$A$2:$A$294=$A35), """"), 0)), ""Y"", """"))"),"")</f>
        <v/>
      </c>
      <c r="AE35" s="92" t="str">
        <f>IFERROR(__xludf.DUMMYFUNCTION("IF(OR($A35="""", AE$5=""""), """", IF(ISNUMBER(MATCH(AE$5, IFERROR(FILTER('MASTER LIST'!$N$2:$AB$294, 'MASTER LIST'!$A$2:$A$294=$A35), """"), 0)), ""Y"", """"))"),"")</f>
        <v/>
      </c>
      <c r="AF35" s="92" t="str">
        <f>IFERROR(__xludf.DUMMYFUNCTION("IF(OR($A35="""", AF$5=""""), """", IF(ISNUMBER(MATCH(AF$5, IFERROR(FILTER('MASTER LIST'!$N$2:$AB$294, 'MASTER LIST'!$A$2:$A$294=$A35), """"), 0)), ""Y"", """"))"),"")</f>
        <v/>
      </c>
      <c r="AG35" s="92" t="str">
        <f>IFERROR(__xludf.DUMMYFUNCTION("IF(OR($A35="""", AG$5=""""), """", IF(ISNUMBER(MATCH(AG$5, IFERROR(FILTER('MASTER LIST'!$N$2:$AB$294, 'MASTER LIST'!$A$2:$A$294=$A35), """"), 0)), ""Y"", """"))"),"")</f>
        <v/>
      </c>
      <c r="AH35" s="92" t="str">
        <f>IFERROR(__xludf.DUMMYFUNCTION("IF(OR($A35="""", AH$5=""""), """", IF(ISNUMBER(MATCH(AH$5, IFERROR(FILTER('MASTER LIST'!$N$2:$AB$294, 'MASTER LIST'!$A$2:$A$294=$A35), """"), 0)), ""Y"", """"))"),"")</f>
        <v/>
      </c>
      <c r="AI35" s="92" t="str">
        <f>IFERROR(__xludf.DUMMYFUNCTION("IF(OR($A35="""", AI$5=""""), """", IF(ISNUMBER(MATCH(AI$5, IFERROR(FILTER('MASTER LIST'!$N$2:$AB$294, 'MASTER LIST'!$A$2:$A$294=$A35), """"), 0)), ""Y"", """"))"),"")</f>
        <v/>
      </c>
      <c r="AJ35" s="92" t="str">
        <f>IFERROR(__xludf.DUMMYFUNCTION("IF(OR($A35="""", AJ$5=""""), """", IF(ISNUMBER(MATCH(AJ$5, IFERROR(FILTER('MASTER LIST'!$N$2:$AB$294, 'MASTER LIST'!$A$2:$A$294=$A35), """"), 0)), ""Y"", """"))"),"")</f>
        <v/>
      </c>
      <c r="AK35" s="92" t="str">
        <f>IFERROR(__xludf.DUMMYFUNCTION("IF(OR($A35="""", AK$5=""""), """", IF(ISNUMBER(MATCH(AK$5, IFERROR(FILTER('MASTER LIST'!$N$2:$AB$294, 'MASTER LIST'!$A$2:$A$294=$A35), """"), 0)), ""Y"", """"))"),"")</f>
        <v/>
      </c>
      <c r="AL35" s="92" t="str">
        <f>IFERROR(__xludf.DUMMYFUNCTION("IF(OR($A35="""", AL$5=""""), """", IF(ISNUMBER(MATCH(AL$5, IFERROR(FILTER('MASTER LIST'!$N$2:$AB$294, 'MASTER LIST'!$A$2:$A$294=$A35), """"), 0)), ""Y"", """"))"),"")</f>
        <v/>
      </c>
      <c r="AM35" s="92" t="str">
        <f>IFERROR(__xludf.DUMMYFUNCTION("IF(OR($A35="""", AM$5=""""), """", IF(ISNUMBER(MATCH(AM$5, IFERROR(FILTER('MASTER LIST'!$N$2:$AB$294, 'MASTER LIST'!$A$2:$A$294=$A35), """"), 0)), ""Y"", """"))"),"")</f>
        <v/>
      </c>
      <c r="AN35" s="92" t="str">
        <f>IFERROR(__xludf.DUMMYFUNCTION("IF(OR($A35="""", AN$5=""""), """", IF(ISNUMBER(MATCH(AN$5, IFERROR(FILTER('MASTER LIST'!$N$2:$AB$294, 'MASTER LIST'!$A$2:$A$294=$A35), """"), 0)), ""Y"", """"))"),"")</f>
        <v/>
      </c>
      <c r="AO35" s="92" t="str">
        <f>IFERROR(__xludf.DUMMYFUNCTION("IF(OR($A35="""", AO$5=""""), """", IF(ISNUMBER(MATCH(AO$5, IFERROR(FILTER('MASTER LIST'!$N$2:$AB$294, 'MASTER LIST'!$A$2:$A$294=$A35), """"), 0)), ""Y"", """"))"),"")</f>
        <v/>
      </c>
      <c r="AP35" s="92" t="str">
        <f>IFERROR(__xludf.DUMMYFUNCTION("IF(OR($A35="""", AP$5=""""), """", IF(ISNUMBER(MATCH(AP$5, IFERROR(FILTER('MASTER LIST'!$N$2:$AB$294, 'MASTER LIST'!$A$2:$A$294=$A35), """"), 0)), ""Y"", """"))"),"")</f>
        <v/>
      </c>
      <c r="AQ35" s="92" t="str">
        <f>IFERROR(__xludf.DUMMYFUNCTION("IF(OR($A35="""", AQ$5=""""), """", IF(ISNUMBER(MATCH(AQ$5, IFERROR(FILTER('MASTER LIST'!$N$2:$AB$294, 'MASTER LIST'!$A$2:$A$294=$A35), """"), 0)), ""Y"", """"))"),"")</f>
        <v/>
      </c>
      <c r="AR35" s="92" t="str">
        <f>IFERROR(__xludf.DUMMYFUNCTION("IF(OR($A35="""", AR$5=""""), """", IF(ISNUMBER(MATCH(AR$5, IFERROR(FILTER('MASTER LIST'!$N$2:$AB$294, 'MASTER LIST'!$A$2:$A$294=$A35), """"), 0)), ""Y"", """"))"),"")</f>
        <v/>
      </c>
      <c r="AS35" s="92" t="str">
        <f>IFERROR(__xludf.DUMMYFUNCTION("IF(OR($A35="""", AS$5=""""), """", IF(ISNUMBER(MATCH(AS$5, IFERROR(FILTER('MASTER LIST'!$N$2:$AB$294, 'MASTER LIST'!$A$2:$A$294=$A35), """"), 0)), ""Y"", """"))"),"")</f>
        <v/>
      </c>
      <c r="AT35" s="92" t="str">
        <f>IFERROR(__xludf.DUMMYFUNCTION("IF(OR($A35="""", AT$5=""""), """", IF(ISNUMBER(MATCH(AT$5, IFERROR(FILTER('MASTER LIST'!$N$2:$AB$294, 'MASTER LIST'!$A$2:$A$294=$A35), """"), 0)), ""Y"", """"))"),"")</f>
        <v/>
      </c>
      <c r="AU35" s="92" t="str">
        <f>IFERROR(__xludf.DUMMYFUNCTION("IF(OR($A35="""", AU$5=""""), """", IF(ISNUMBER(MATCH(AU$5, IFERROR(FILTER('MASTER LIST'!$N$2:$AB$294, 'MASTER LIST'!$A$2:$A$294=$A35), """"), 0)), ""Y"", """"))"),"")</f>
        <v/>
      </c>
      <c r="AV35" s="92" t="str">
        <f>IFERROR(__xludf.DUMMYFUNCTION("IF(OR($A35="""", AV$5=""""), """", IF(ISNUMBER(MATCH(AV$5, IFERROR(FILTER('MASTER LIST'!$N$2:$AB$294, 'MASTER LIST'!$A$2:$A$294=$A35), """"), 0)), ""Y"", """"))"),"")</f>
        <v/>
      </c>
      <c r="AW35" s="92" t="str">
        <f>IFERROR(__xludf.DUMMYFUNCTION("IF(OR($A35="""", AW$5=""""), """", IF(ISNUMBER(MATCH(AW$5, IFERROR(FILTER('MASTER LIST'!$N$2:$AB$294, 'MASTER LIST'!$A$2:$A$294=$A35), """"), 0)), ""Y"", """"))"),"")</f>
        <v/>
      </c>
      <c r="AX35" s="92" t="str">
        <f>IFERROR(__xludf.DUMMYFUNCTION("IF(OR($A35="""", AX$5=""""), """", IF(ISNUMBER(MATCH(AX$5, IFERROR(FILTER('MASTER LIST'!$N$2:$AB$294, 'MASTER LIST'!$A$2:$A$294=$A35), """"), 0)), ""Y"", """"))"),"")</f>
        <v/>
      </c>
      <c r="AY35" s="92" t="str">
        <f>IFERROR(__xludf.DUMMYFUNCTION("IF(OR($A35="""", AY$5=""""), """", IF(ISNUMBER(MATCH(AY$5, IFERROR(FILTER('MASTER LIST'!$N$2:$AB$294, 'MASTER LIST'!$A$2:$A$294=$A35), """"), 0)), ""Y"", """"))"),"")</f>
        <v/>
      </c>
      <c r="AZ35" s="92" t="str">
        <f>IFERROR(__xludf.DUMMYFUNCTION("IF(OR($A35="""", AZ$5=""""), """", IF(ISNUMBER(MATCH(AZ$5, IFERROR(FILTER('MASTER LIST'!$N$2:$AB$294, 'MASTER LIST'!$A$2:$A$294=$A35), """"), 0)), ""Y"", """"))"),"")</f>
        <v/>
      </c>
      <c r="BA35" s="92" t="str">
        <f>IFERROR(__xludf.DUMMYFUNCTION("IF(OR($A35="""", BA$5=""""), """", IF(ISNUMBER(MATCH(BA$5, IFERROR(FILTER('MASTER LIST'!$N$2:$AB$294, 'MASTER LIST'!$A$2:$A$294=$A35), """"), 0)), ""Y"", """"))"),"")</f>
        <v/>
      </c>
      <c r="BB35" s="92" t="str">
        <f>IFERROR(__xludf.DUMMYFUNCTION("IF(OR($A35="""", BB$5=""""), """", IF(ISNUMBER(MATCH(BB$5, IFERROR(FILTER('MASTER LIST'!$N$2:$AB$294, 'MASTER LIST'!$A$2:$A$294=$A35), """"), 0)), ""Y"", """"))"),"")</f>
        <v/>
      </c>
      <c r="BC35" s="92" t="str">
        <f>IFERROR(__xludf.DUMMYFUNCTION("IF(OR($A35="""", BC$5=""""), """", IF(ISNUMBER(MATCH(BC$5, IFERROR(FILTER('MASTER LIST'!$N$2:$AB$294, 'MASTER LIST'!$A$2:$A$294=$A35), """"), 0)), ""Y"", """"))"),"")</f>
        <v/>
      </c>
      <c r="BD35" s="92" t="str">
        <f>IFERROR(__xludf.DUMMYFUNCTION("IF(OR($A35="""", BD$5=""""), """", IF(ISNUMBER(MATCH(BD$5, IFERROR(FILTER('MASTER LIST'!$N$2:$AB$294, 'MASTER LIST'!$A$2:$A$294=$A35), """"), 0)), ""Y"", """"))"),"")</f>
        <v/>
      </c>
      <c r="BE35" s="92" t="str">
        <f>IFERROR(__xludf.DUMMYFUNCTION("IF(OR($A35="""", BE$5=""""), """", IF(ISNUMBER(MATCH(BE$5, IFERROR(FILTER('MASTER LIST'!$N$2:$AB$294, 'MASTER LIST'!$A$2:$A$294=$A35), """"), 0)), ""Y"", """"))"),"")</f>
        <v/>
      </c>
      <c r="BF35" s="92" t="str">
        <f>IFERROR(__xludf.DUMMYFUNCTION("IF(OR($A35="""", BF$5=""""), """", IF(ISNUMBER(MATCH(BF$5, IFERROR(FILTER('MASTER LIST'!$N$2:$AB$294, 'MASTER LIST'!$A$2:$A$294=$A35), """"), 0)), ""Y"", """"))"),"")</f>
        <v/>
      </c>
      <c r="BG35" s="92" t="str">
        <f>IFERROR(__xludf.DUMMYFUNCTION("IF(OR($A35="""", BG$5=""""), """", IF(ISNUMBER(MATCH(BG$5, IFERROR(FILTER('MASTER LIST'!$N$2:$AB$294, 'MASTER LIST'!$A$2:$A$294=$A35), """"), 0)), ""Y"", """"))"),"")</f>
        <v/>
      </c>
      <c r="BH35" s="92" t="str">
        <f>IFERROR(__xludf.DUMMYFUNCTION("IF(OR($A35="""", BH$5=""""), """", IF(ISNUMBER(MATCH(BH$5, IFERROR(FILTER('MASTER LIST'!$N$2:$AB$294, 'MASTER LIST'!$A$2:$A$294=$A35), """"), 0)), ""Y"", """"))"),"")</f>
        <v/>
      </c>
      <c r="BI35" s="92" t="str">
        <f>IFERROR(__xludf.DUMMYFUNCTION("IF(OR($A35="""", BI$5=""""), """", IF(ISNUMBER(MATCH(BI$5, IFERROR(FILTER('MASTER LIST'!$N$2:$AB$294, 'MASTER LIST'!$A$2:$A$294=$A35), """"), 0)), ""Y"", """"))"),"")</f>
        <v/>
      </c>
      <c r="BJ35" s="92" t="str">
        <f>IFERROR(__xludf.DUMMYFUNCTION("IF(OR($A35="""", BJ$5=""""), """", IF(ISNUMBER(MATCH(BJ$5, IFERROR(FILTER('MASTER LIST'!$N$2:$AB$294, 'MASTER LIST'!$A$2:$A$294=$A35), """"), 0)), ""Y"", """"))"),"")</f>
        <v/>
      </c>
      <c r="BK35" s="92" t="str">
        <f>IFERROR(__xludf.DUMMYFUNCTION("IF(OR($A35="""", BK$5=""""), """", IF(ISNUMBER(MATCH(BK$5, IFERROR(FILTER('MASTER LIST'!$N$2:$AB$294, 'MASTER LIST'!$A$2:$A$294=$A35), """"), 0)), ""Y"", """"))"),"")</f>
        <v/>
      </c>
      <c r="BL35" s="92" t="str">
        <f>IFERROR(__xludf.DUMMYFUNCTION("IF(OR($A35="""", BL$5=""""), """", IF(ISNUMBER(MATCH(BL$5, IFERROR(FILTER('MASTER LIST'!$N$2:$AB$294, 'MASTER LIST'!$A$2:$A$294=$A35), """"), 0)), ""Y"", """"))"),"")</f>
        <v/>
      </c>
      <c r="BM35" s="92" t="str">
        <f>IFERROR(__xludf.DUMMYFUNCTION("IF(OR($A35="""", BM$5=""""), """", IF(ISNUMBER(MATCH(BM$5, IFERROR(FILTER('MASTER LIST'!$N$2:$AB$294, 'MASTER LIST'!$A$2:$A$294=$A35), """"), 0)), ""Y"", """"))"),"")</f>
        <v/>
      </c>
      <c r="BN35" s="92" t="str">
        <f>IFERROR(__xludf.DUMMYFUNCTION("IF(OR($A35="""", BN$5=""""), """", IF(ISNUMBER(MATCH(BN$5, IFERROR(FILTER('MASTER LIST'!$N$2:$AB$294, 'MASTER LIST'!$A$2:$A$294=$A35), """"), 0)), ""Y"", """"))"),"")</f>
        <v/>
      </c>
      <c r="BO35" s="92" t="str">
        <f>IFERROR(__xludf.DUMMYFUNCTION("IF(OR($A35="""", BO$5=""""), """", IF(ISNUMBER(MATCH(BO$5, IFERROR(FILTER('MASTER LIST'!$N$2:$AB$294, 'MASTER LIST'!$A$2:$A$294=$A35), """"), 0)), ""Y"", """"))"),"")</f>
        <v/>
      </c>
      <c r="BP35" s="92" t="str">
        <f>IFERROR(__xludf.DUMMYFUNCTION("IF(OR($A35="""", BP$5=""""), """", IF(ISNUMBER(MATCH(BP$5, IFERROR(FILTER('MASTER LIST'!$N$2:$AB$294, 'MASTER LIST'!$A$2:$A$294=$A35), """"), 0)), ""Y"", """"))"),"")</f>
        <v/>
      </c>
      <c r="BQ35" s="92" t="str">
        <f>IFERROR(__xludf.DUMMYFUNCTION("IF(OR($A35="""", BQ$5=""""), """", IF(ISNUMBER(MATCH(BQ$5, IFERROR(FILTER('MASTER LIST'!$N$2:$AB$294, 'MASTER LIST'!$A$2:$A$294=$A35), """"), 0)), ""Y"", """"))"),"")</f>
        <v/>
      </c>
      <c r="BR35" s="92" t="str">
        <f>IFERROR(__xludf.DUMMYFUNCTION("IF(OR($A35="""", BR$5=""""), """", IF(ISNUMBER(MATCH(BR$5, IFERROR(FILTER('MASTER LIST'!$N$2:$AB$294, 'MASTER LIST'!$A$2:$A$294=$A35), """"), 0)), ""Y"", """"))"),"")</f>
        <v/>
      </c>
      <c r="BS35" s="92" t="str">
        <f>IFERROR(__xludf.DUMMYFUNCTION("IF(OR($A35="""", BS$5=""""), """", IF(ISNUMBER(MATCH(BS$5, IFERROR(FILTER('MASTER LIST'!$N$2:$AB$294, 'MASTER LIST'!$A$2:$A$294=$A35), """"), 0)), ""Y"", """"))"),"")</f>
        <v/>
      </c>
      <c r="BT35" s="92" t="str">
        <f>IFERROR(__xludf.DUMMYFUNCTION("IF(OR($A35="""", BT$5=""""), """", IF(ISNUMBER(MATCH(BT$5, IFERROR(FILTER('MASTER LIST'!$N$2:$AB$294, 'MASTER LIST'!$A$2:$A$294=$A35), """"), 0)), ""Y"", """"))"),"")</f>
        <v/>
      </c>
      <c r="BU35" s="92" t="str">
        <f>IFERROR(__xludf.DUMMYFUNCTION("IF(OR($A35="""", BU$5=""""), """", IF(ISNUMBER(MATCH(BU$5, IFERROR(FILTER('MASTER LIST'!$N$2:$AB$294, 'MASTER LIST'!$A$2:$A$294=$A35), """"), 0)), ""Y"", """"))"),"")</f>
        <v/>
      </c>
      <c r="BV35" s="92" t="str">
        <f>IFERROR(__xludf.DUMMYFUNCTION("IF(OR($A35="""", BV$5=""""), """", IF(ISNUMBER(MATCH(BV$5, IFERROR(FILTER('MASTER LIST'!$N$2:$AB$294, 'MASTER LIST'!$A$2:$A$294=$A35), """"), 0)), ""Y"", """"))"),"")</f>
        <v/>
      </c>
      <c r="BW35" s="92" t="str">
        <f>IFERROR(__xludf.DUMMYFUNCTION("IF(OR($A35="""", BW$5=""""), """", IF(ISNUMBER(MATCH(BW$5, IFERROR(FILTER('MASTER LIST'!$N$2:$AB$294, 'MASTER LIST'!$A$2:$A$294=$A35), """"), 0)), ""Y"", """"))"),"")</f>
        <v/>
      </c>
      <c r="BX35" s="92" t="str">
        <f>IFERROR(__xludf.DUMMYFUNCTION("IF(OR($A35="""", BX$5=""""), """", IF(ISNUMBER(MATCH(BX$5, IFERROR(FILTER('MASTER LIST'!$N$2:$AB$294, 'MASTER LIST'!$A$2:$A$294=$A35), """"), 0)), ""Y"", """"))"),"")</f>
        <v/>
      </c>
      <c r="BY35" s="92" t="str">
        <f>IFERROR(__xludf.DUMMYFUNCTION("IF(OR($A35="""", BY$5=""""), """", IF(ISNUMBER(MATCH(BY$5, IFERROR(FILTER('MASTER LIST'!$N$2:$AB$294, 'MASTER LIST'!$A$2:$A$294=$A35), """"), 0)), ""Y"", """"))"),"")</f>
        <v/>
      </c>
      <c r="BZ35" s="92" t="str">
        <f>IFERROR(__xludf.DUMMYFUNCTION("IF(OR($A35="""", BZ$5=""""), """", IF(ISNUMBER(MATCH(BZ$5, IFERROR(FILTER('MASTER LIST'!$N$2:$AB$294, 'MASTER LIST'!$A$2:$A$294=$A35), """"), 0)), ""Y"", """"))"),"")</f>
        <v/>
      </c>
      <c r="CA35" s="92" t="str">
        <f>IFERROR(__xludf.DUMMYFUNCTION("IF(OR($A35="""", CA$5=""""), """", IF(ISNUMBER(MATCH(CA$5, IFERROR(FILTER('MASTER LIST'!$N$2:$AB$294, 'MASTER LIST'!$A$2:$A$294=$A35), """"), 0)), ""Y"", """"))"),"")</f>
        <v/>
      </c>
      <c r="CB35" s="92" t="str">
        <f>IFERROR(__xludf.DUMMYFUNCTION("IF(OR($A35="""", CB$5=""""), """", IF(ISNUMBER(MATCH(CB$5, IFERROR(FILTER('MASTER LIST'!$N$2:$AB$294, 'MASTER LIST'!$A$2:$A$294=$A35), """"), 0)), ""Y"", """"))"),"")</f>
        <v/>
      </c>
      <c r="CC35" s="92"/>
      <c r="CD35" s="92"/>
      <c r="CE35" s="92"/>
      <c r="CF35" s="92"/>
      <c r="CG35" s="92"/>
      <c r="CH35" s="92"/>
      <c r="CI35" s="92"/>
      <c r="CJ35" s="92"/>
      <c r="CK35" s="92"/>
    </row>
    <row r="36">
      <c r="A36" s="96" t="s">
        <v>949</v>
      </c>
      <c r="B36" s="97"/>
      <c r="C36" s="97"/>
      <c r="D36" s="97"/>
      <c r="E36" s="97"/>
      <c r="F36" s="97"/>
      <c r="G36" s="98">
        <f t="shared" ref="G36:CB36" si="1">IF(G$5="", "", COUNTIF(G$7:G$35, "Y") + COUNTIF(G$7:G$35, "✓"))</f>
        <v>0</v>
      </c>
      <c r="H36" s="98">
        <f t="shared" si="1"/>
        <v>0</v>
      </c>
      <c r="I36" s="98">
        <f t="shared" si="1"/>
        <v>0</v>
      </c>
      <c r="J36" s="98">
        <f t="shared" si="1"/>
        <v>0</v>
      </c>
      <c r="K36" s="98">
        <f t="shared" si="1"/>
        <v>0</v>
      </c>
      <c r="L36" s="98">
        <f t="shared" si="1"/>
        <v>0</v>
      </c>
      <c r="M36" s="98">
        <f t="shared" si="1"/>
        <v>0</v>
      </c>
      <c r="N36" s="98">
        <f t="shared" si="1"/>
        <v>0</v>
      </c>
      <c r="O36" s="98">
        <f t="shared" si="1"/>
        <v>0</v>
      </c>
      <c r="P36" s="98">
        <f t="shared" si="1"/>
        <v>0</v>
      </c>
      <c r="Q36" s="98">
        <f t="shared" si="1"/>
        <v>0</v>
      </c>
      <c r="R36" s="98">
        <f t="shared" si="1"/>
        <v>0</v>
      </c>
      <c r="S36" s="98">
        <f t="shared" si="1"/>
        <v>0</v>
      </c>
      <c r="T36" s="98">
        <f t="shared" si="1"/>
        <v>0</v>
      </c>
      <c r="U36" s="98">
        <f t="shared" si="1"/>
        <v>0</v>
      </c>
      <c r="V36" s="98">
        <f t="shared" si="1"/>
        <v>0</v>
      </c>
      <c r="W36" s="98">
        <f t="shared" si="1"/>
        <v>0</v>
      </c>
      <c r="X36" s="98">
        <f t="shared" si="1"/>
        <v>0</v>
      </c>
      <c r="Y36" s="98">
        <f t="shared" si="1"/>
        <v>0</v>
      </c>
      <c r="Z36" s="98">
        <f t="shared" si="1"/>
        <v>0</v>
      </c>
      <c r="AA36" s="98">
        <f t="shared" si="1"/>
        <v>0</v>
      </c>
      <c r="AB36" s="98">
        <f t="shared" si="1"/>
        <v>0</v>
      </c>
      <c r="AC36" s="98">
        <f t="shared" si="1"/>
        <v>0</v>
      </c>
      <c r="AD36" s="98">
        <f t="shared" si="1"/>
        <v>0</v>
      </c>
      <c r="AE36" s="98">
        <f t="shared" si="1"/>
        <v>0</v>
      </c>
      <c r="AF36" s="98">
        <f t="shared" si="1"/>
        <v>0</v>
      </c>
      <c r="AG36" s="98">
        <f t="shared" si="1"/>
        <v>0</v>
      </c>
      <c r="AH36" s="98">
        <f t="shared" si="1"/>
        <v>0</v>
      </c>
      <c r="AI36" s="98">
        <f t="shared" si="1"/>
        <v>0</v>
      </c>
      <c r="AJ36" s="98">
        <f t="shared" si="1"/>
        <v>0</v>
      </c>
      <c r="AK36" s="98">
        <f t="shared" si="1"/>
        <v>0</v>
      </c>
      <c r="AL36" s="98">
        <f t="shared" si="1"/>
        <v>0</v>
      </c>
      <c r="AM36" s="98">
        <f t="shared" si="1"/>
        <v>0</v>
      </c>
      <c r="AN36" s="98">
        <f t="shared" si="1"/>
        <v>0</v>
      </c>
      <c r="AO36" s="98">
        <f t="shared" si="1"/>
        <v>0</v>
      </c>
      <c r="AP36" s="98">
        <f t="shared" si="1"/>
        <v>0</v>
      </c>
      <c r="AQ36" s="98">
        <f t="shared" si="1"/>
        <v>0</v>
      </c>
      <c r="AR36" s="98">
        <f t="shared" si="1"/>
        <v>0</v>
      </c>
      <c r="AS36" s="98">
        <f t="shared" si="1"/>
        <v>0</v>
      </c>
      <c r="AT36" s="98">
        <f t="shared" si="1"/>
        <v>0</v>
      </c>
      <c r="AU36" s="98">
        <f t="shared" si="1"/>
        <v>0</v>
      </c>
      <c r="AV36" s="98">
        <f t="shared" si="1"/>
        <v>0</v>
      </c>
      <c r="AW36" s="98">
        <f t="shared" si="1"/>
        <v>0</v>
      </c>
      <c r="AX36" s="98">
        <f t="shared" si="1"/>
        <v>0</v>
      </c>
      <c r="AY36" s="98">
        <f t="shared" si="1"/>
        <v>0</v>
      </c>
      <c r="AZ36" s="98">
        <f t="shared" si="1"/>
        <v>0</v>
      </c>
      <c r="BA36" s="98">
        <f t="shared" si="1"/>
        <v>0</v>
      </c>
      <c r="BB36" s="98">
        <f t="shared" si="1"/>
        <v>0</v>
      </c>
      <c r="BC36" s="98">
        <f t="shared" si="1"/>
        <v>0</v>
      </c>
      <c r="BD36" s="98">
        <f t="shared" si="1"/>
        <v>0</v>
      </c>
      <c r="BE36" s="98">
        <f t="shared" si="1"/>
        <v>0</v>
      </c>
      <c r="BF36" s="98">
        <f t="shared" si="1"/>
        <v>0</v>
      </c>
      <c r="BG36" s="98">
        <f t="shared" si="1"/>
        <v>0</v>
      </c>
      <c r="BH36" s="98">
        <f t="shared" si="1"/>
        <v>0</v>
      </c>
      <c r="BI36" s="98">
        <f t="shared" si="1"/>
        <v>0</v>
      </c>
      <c r="BJ36" s="98">
        <f t="shared" si="1"/>
        <v>0</v>
      </c>
      <c r="BK36" s="98">
        <f t="shared" si="1"/>
        <v>0</v>
      </c>
      <c r="BL36" s="98">
        <f t="shared" si="1"/>
        <v>0</v>
      </c>
      <c r="BM36" s="98">
        <f t="shared" si="1"/>
        <v>0</v>
      </c>
      <c r="BN36" s="98">
        <f t="shared" si="1"/>
        <v>0</v>
      </c>
      <c r="BO36" s="98">
        <f t="shared" si="1"/>
        <v>0</v>
      </c>
      <c r="BP36" s="98" t="str">
        <f t="shared" si="1"/>
        <v/>
      </c>
      <c r="BQ36" s="98" t="str">
        <f t="shared" si="1"/>
        <v/>
      </c>
      <c r="BR36" s="98" t="str">
        <f t="shared" si="1"/>
        <v/>
      </c>
      <c r="BS36" s="98" t="str">
        <f t="shared" si="1"/>
        <v/>
      </c>
      <c r="BT36" s="98" t="str">
        <f t="shared" si="1"/>
        <v/>
      </c>
      <c r="BU36" s="98" t="str">
        <f t="shared" si="1"/>
        <v/>
      </c>
      <c r="BV36" s="98" t="str">
        <f t="shared" si="1"/>
        <v/>
      </c>
      <c r="BW36" s="98" t="str">
        <f t="shared" si="1"/>
        <v/>
      </c>
      <c r="BX36" s="98" t="str">
        <f t="shared" si="1"/>
        <v/>
      </c>
      <c r="BY36" s="98" t="str">
        <f t="shared" si="1"/>
        <v/>
      </c>
      <c r="BZ36" s="98" t="str">
        <f t="shared" si="1"/>
        <v/>
      </c>
      <c r="CA36" s="98" t="str">
        <f t="shared" si="1"/>
        <v/>
      </c>
      <c r="CB36" s="98" t="str">
        <f t="shared" si="1"/>
        <v/>
      </c>
      <c r="CC36" s="98"/>
      <c r="CD36" s="98"/>
      <c r="CE36" s="98"/>
      <c r="CF36" s="98"/>
      <c r="CG36" s="98"/>
      <c r="CH36" s="98"/>
      <c r="CI36" s="98"/>
      <c r="CJ36" s="98"/>
      <c r="CK36" s="98"/>
    </row>
    <row r="37">
      <c r="A37" s="96" t="s">
        <v>950</v>
      </c>
      <c r="B37" s="97"/>
      <c r="C37" s="97"/>
      <c r="D37" s="97"/>
      <c r="E37" s="97"/>
      <c r="F37" s="97"/>
      <c r="G37" s="98">
        <f>IF(G$5="", "", IFERROR(VLOOKUP(G$5, PROGRAM_DIRECTORY!$A$2:$H$334, 8, FALSE), "-"))</f>
        <v>2</v>
      </c>
      <c r="H37" s="98">
        <f>IF(H$5="", "", IFERROR(VLOOKUP(H$5, PROGRAM_DIRECTORY!$A$2:$H$334, 8, FALSE), "-"))</f>
        <v>2</v>
      </c>
      <c r="I37" s="98">
        <f>IF(I$5="", "", IFERROR(VLOOKUP(I$5, PROGRAM_DIRECTORY!$A$2:$H$334, 8, FALSE), "-"))</f>
        <v>2</v>
      </c>
      <c r="J37" s="98">
        <f>IF(J$5="", "", IFERROR(VLOOKUP(J$5, PROGRAM_DIRECTORY!$A$2:$H$334, 8, FALSE), "-"))</f>
        <v>2</v>
      </c>
      <c r="K37" s="98">
        <f>IF(K$5="", "", IFERROR(VLOOKUP(K$5, PROGRAM_DIRECTORY!$A$2:$H$334, 8, FALSE), "-"))</f>
        <v>2</v>
      </c>
      <c r="L37" s="98">
        <f>IF(L$5="", "", IFERROR(VLOOKUP(L$5, PROGRAM_DIRECTORY!$A$2:$H$334, 8, FALSE), "-"))</f>
        <v>2</v>
      </c>
      <c r="M37" s="98">
        <f>IF(M$5="", "", IFERROR(VLOOKUP(M$5, PROGRAM_DIRECTORY!$A$2:$H$334, 8, FALSE), "-"))</f>
        <v>2</v>
      </c>
      <c r="N37" s="98">
        <f>IF(N$5="", "", IFERROR(VLOOKUP(N$5, PROGRAM_DIRECTORY!$A$2:$H$334, 8, FALSE), "-"))</f>
        <v>2</v>
      </c>
      <c r="O37" s="98">
        <f>IF(O$5="", "", IFERROR(VLOOKUP(O$5, PROGRAM_DIRECTORY!$A$2:$H$334, 8, FALSE), "-"))</f>
        <v>2</v>
      </c>
      <c r="P37" s="98">
        <f>IF(P$5="", "", IFERROR(VLOOKUP(P$5, PROGRAM_DIRECTORY!$A$2:$H$334, 8, FALSE), "-"))</f>
        <v>2</v>
      </c>
      <c r="Q37" s="98">
        <f>IF(Q$5="", "", IFERROR(VLOOKUP(Q$5, PROGRAM_DIRECTORY!$A$2:$H$334, 8, FALSE), "-"))</f>
        <v>2</v>
      </c>
      <c r="R37" s="98">
        <f>IF(R$5="", "", IFERROR(VLOOKUP(R$5, PROGRAM_DIRECTORY!$A$2:$H$334, 8, FALSE), "-"))</f>
        <v>2</v>
      </c>
      <c r="S37" s="98">
        <f>IF(S$5="", "", IFERROR(VLOOKUP(S$5, PROGRAM_DIRECTORY!$A$2:$H$334, 8, FALSE), "-"))</f>
        <v>2</v>
      </c>
      <c r="T37" s="98">
        <f>IF(T$5="", "", IFERROR(VLOOKUP(T$5, PROGRAM_DIRECTORY!$A$2:$H$334, 8, FALSE), "-"))</f>
        <v>2</v>
      </c>
      <c r="U37" s="98">
        <f>IF(U$5="", "", IFERROR(VLOOKUP(U$5, PROGRAM_DIRECTORY!$A$2:$H$334, 8, FALSE), "-"))</f>
        <v>2</v>
      </c>
      <c r="V37" s="98">
        <f>IF(V$5="", "", IFERROR(VLOOKUP(V$5, PROGRAM_DIRECTORY!$A$2:$H$334, 8, FALSE), "-"))</f>
        <v>2</v>
      </c>
      <c r="W37" s="98">
        <f>IF(W$5="", "", IFERROR(VLOOKUP(W$5, PROGRAM_DIRECTORY!$A$2:$H$334, 8, FALSE), "-"))</f>
        <v>2</v>
      </c>
      <c r="X37" s="98">
        <f>IF(X$5="", "", IFERROR(VLOOKUP(X$5, PROGRAM_DIRECTORY!$A$2:$H$334, 8, FALSE), "-"))</f>
        <v>2</v>
      </c>
      <c r="Y37" s="98">
        <f>IF(Y$5="", "", IFERROR(VLOOKUP(Y$5, PROGRAM_DIRECTORY!$A$2:$H$334, 8, FALSE), "-"))</f>
        <v>2</v>
      </c>
      <c r="Z37" s="98">
        <f>IF(Z$5="", "", IFERROR(VLOOKUP(Z$5, PROGRAM_DIRECTORY!$A$2:$H$334, 8, FALSE), "-"))</f>
        <v>2</v>
      </c>
      <c r="AA37" s="98">
        <f>IF(AA$5="", "", IFERROR(VLOOKUP(AA$5, PROGRAM_DIRECTORY!$A$2:$H$334, 8, FALSE), "-"))</f>
        <v>2</v>
      </c>
      <c r="AB37" s="98">
        <f>IF(AB$5="", "", IFERROR(VLOOKUP(AB$5, PROGRAM_DIRECTORY!$A$2:$H$334, 8, FALSE), "-"))</f>
        <v>3</v>
      </c>
      <c r="AC37" s="98">
        <f>IF(AC$5="", "", IFERROR(VLOOKUP(AC$5, PROGRAM_DIRECTORY!$A$2:$H$334, 8, FALSE), "-"))</f>
        <v>4</v>
      </c>
      <c r="AD37" s="98">
        <f>IF(AD$5="", "", IFERROR(VLOOKUP(AD$5, PROGRAM_DIRECTORY!$A$2:$H$334, 8, FALSE), "-"))</f>
        <v>2</v>
      </c>
      <c r="AE37" s="98">
        <f>IF(AE$5="", "", IFERROR(VLOOKUP(AE$5, PROGRAM_DIRECTORY!$A$2:$H$334, 8, FALSE), "-"))</f>
        <v>2</v>
      </c>
      <c r="AF37" s="98">
        <f>IF(AF$5="", "", IFERROR(VLOOKUP(AF$5, PROGRAM_DIRECTORY!$A$2:$H$334, 8, FALSE), "-"))</f>
        <v>2</v>
      </c>
      <c r="AG37" s="98">
        <f>IF(AG$5="", "", IFERROR(VLOOKUP(AG$5, PROGRAM_DIRECTORY!$A$2:$H$334, 8, FALSE), "-"))</f>
        <v>2</v>
      </c>
      <c r="AH37" s="98">
        <f>IF(AH$5="", "", IFERROR(VLOOKUP(AH$5, PROGRAM_DIRECTORY!$A$2:$H$334, 8, FALSE), "-"))</f>
        <v>2</v>
      </c>
      <c r="AI37" s="98">
        <f>IF(AI$5="", "", IFERROR(VLOOKUP(AI$5, PROGRAM_DIRECTORY!$A$2:$H$334, 8, FALSE), "-"))</f>
        <v>2</v>
      </c>
      <c r="AJ37" s="98">
        <f>IF(AJ$5="", "", IFERROR(VLOOKUP(AJ$5, PROGRAM_DIRECTORY!$A$2:$H$334, 8, FALSE), "-"))</f>
        <v>2</v>
      </c>
      <c r="AK37" s="98">
        <f>IF(AK$5="", "", IFERROR(VLOOKUP(AK$5, PROGRAM_DIRECTORY!$A$2:$H$334, 8, FALSE), "-"))</f>
        <v>2</v>
      </c>
      <c r="AL37" s="98">
        <f>IF(AL$5="", "", IFERROR(VLOOKUP(AL$5, PROGRAM_DIRECTORY!$A$2:$H$334, 8, FALSE), "-"))</f>
        <v>2</v>
      </c>
      <c r="AM37" s="98">
        <f>IF(AM$5="", "", IFERROR(VLOOKUP(AM$5, PROGRAM_DIRECTORY!$A$2:$H$334, 8, FALSE), "-"))</f>
        <v>2</v>
      </c>
      <c r="AN37" s="98">
        <f>IF(AN$5="", "", IFERROR(VLOOKUP(AN$5, PROGRAM_DIRECTORY!$A$2:$H$334, 8, FALSE), "-"))</f>
        <v>2</v>
      </c>
      <c r="AO37" s="98">
        <f>IF(AO$5="", "", IFERROR(VLOOKUP(AO$5, PROGRAM_DIRECTORY!$A$2:$H$334, 8, FALSE), "-"))</f>
        <v>2</v>
      </c>
      <c r="AP37" s="98">
        <f>IF(AP$5="", "", IFERROR(VLOOKUP(AP$5, PROGRAM_DIRECTORY!$A$2:$H$334, 8, FALSE), "-"))</f>
        <v>2</v>
      </c>
      <c r="AQ37" s="98">
        <f>IF(AQ$5="", "", IFERROR(VLOOKUP(AQ$5, PROGRAM_DIRECTORY!$A$2:$H$334, 8, FALSE), "-"))</f>
        <v>2</v>
      </c>
      <c r="AR37" s="98">
        <f>IF(AR$5="", "", IFERROR(VLOOKUP(AR$5, PROGRAM_DIRECTORY!$A$2:$H$334, 8, FALSE), "-"))</f>
        <v>2</v>
      </c>
      <c r="AS37" s="98">
        <f>IF(AS$5="", "", IFERROR(VLOOKUP(AS$5, PROGRAM_DIRECTORY!$A$2:$H$334, 8, FALSE), "-"))</f>
        <v>2</v>
      </c>
      <c r="AT37" s="98">
        <f>IF(AT$5="", "", IFERROR(VLOOKUP(AT$5, PROGRAM_DIRECTORY!$A$2:$H$334, 8, FALSE), "-"))</f>
        <v>2</v>
      </c>
      <c r="AU37" s="98">
        <f>IF(AU$5="", "", IFERROR(VLOOKUP(AU$5, PROGRAM_DIRECTORY!$A$2:$H$334, 8, FALSE), "-"))</f>
        <v>2</v>
      </c>
      <c r="AV37" s="98">
        <f>IF(AV$5="", "", IFERROR(VLOOKUP(AV$5, PROGRAM_DIRECTORY!$A$2:$H$334, 8, FALSE), "-"))</f>
        <v>2</v>
      </c>
      <c r="AW37" s="98">
        <f>IF(AW$5="", "", IFERROR(VLOOKUP(AW$5, PROGRAM_DIRECTORY!$A$2:$H$334, 8, FALSE), "-"))</f>
        <v>2</v>
      </c>
      <c r="AX37" s="98">
        <f>IF(AX$5="", "", IFERROR(VLOOKUP(AX$5, PROGRAM_DIRECTORY!$A$2:$H$334, 8, FALSE), "-"))</f>
        <v>2</v>
      </c>
      <c r="AY37" s="98">
        <f>IF(AY$5="", "", IFERROR(VLOOKUP(AY$5, PROGRAM_DIRECTORY!$A$2:$H$334, 8, FALSE), "-"))</f>
        <v>2</v>
      </c>
      <c r="AZ37" s="98">
        <f>IF(AZ$5="", "", IFERROR(VLOOKUP(AZ$5, PROGRAM_DIRECTORY!$A$2:$H$334, 8, FALSE), "-"))</f>
        <v>5</v>
      </c>
      <c r="BA37" s="98">
        <f>IF(BA$5="", "", IFERROR(VLOOKUP(BA$5, PROGRAM_DIRECTORY!$A$2:$H$334, 8, FALSE), "-"))</f>
        <v>5</v>
      </c>
      <c r="BB37" s="98">
        <f>IF(BB$5="", "", IFERROR(VLOOKUP(BB$5, PROGRAM_DIRECTORY!$A$2:$H$334, 8, FALSE), "-"))</f>
        <v>2</v>
      </c>
      <c r="BC37" s="98">
        <f>IF(BC$5="", "", IFERROR(VLOOKUP(BC$5, PROGRAM_DIRECTORY!$A$2:$H$334, 8, FALSE), "-"))</f>
        <v>2</v>
      </c>
      <c r="BD37" s="98">
        <f>IF(BD$5="", "", IFERROR(VLOOKUP(BD$5, PROGRAM_DIRECTORY!$A$2:$H$334, 8, FALSE), "-"))</f>
        <v>2</v>
      </c>
      <c r="BE37" s="98">
        <f>IF(BE$5="", "", IFERROR(VLOOKUP(BE$5, PROGRAM_DIRECTORY!$A$2:$H$334, 8, FALSE), "-"))</f>
        <v>2</v>
      </c>
      <c r="BF37" s="98">
        <f>IF(BF$5="", "", IFERROR(VLOOKUP(BF$5, PROGRAM_DIRECTORY!$A$2:$H$334, 8, FALSE), "-"))</f>
        <v>2</v>
      </c>
      <c r="BG37" s="98">
        <f>IF(BG$5="", "", IFERROR(VLOOKUP(BG$5, PROGRAM_DIRECTORY!$A$2:$H$334, 8, FALSE), "-"))</f>
        <v>2</v>
      </c>
      <c r="BH37" s="98">
        <f>IF(BH$5="", "", IFERROR(VLOOKUP(BH$5, PROGRAM_DIRECTORY!$A$2:$H$334, 8, FALSE), "-"))</f>
        <v>2</v>
      </c>
      <c r="BI37" s="98">
        <f>IF(BI$5="", "", IFERROR(VLOOKUP(BI$5, PROGRAM_DIRECTORY!$A$2:$H$334, 8, FALSE), "-"))</f>
        <v>2</v>
      </c>
      <c r="BJ37" s="98">
        <f>IF(BJ$5="", "", IFERROR(VLOOKUP(BJ$5, PROGRAM_DIRECTORY!$A$2:$H$334, 8, FALSE), "-"))</f>
        <v>2</v>
      </c>
      <c r="BK37" s="98">
        <f>IF(BK$5="", "", IFERROR(VLOOKUP(BK$5, PROGRAM_DIRECTORY!$A$2:$H$334, 8, FALSE), "-"))</f>
        <v>2</v>
      </c>
      <c r="BL37" s="98">
        <f>IF(BL$5="", "", IFERROR(VLOOKUP(BL$5, PROGRAM_DIRECTORY!$A$2:$H$334, 8, FALSE), "-"))</f>
        <v>2</v>
      </c>
      <c r="BM37" s="98">
        <f>IF(BM$5="", "", IFERROR(VLOOKUP(BM$5, PROGRAM_DIRECTORY!$A$2:$H$334, 8, FALSE), "-"))</f>
        <v>2</v>
      </c>
      <c r="BN37" s="98">
        <f>IF(BN$5="", "", IFERROR(VLOOKUP(BN$5, PROGRAM_DIRECTORY!$A$2:$H$334, 8, FALSE), "-"))</f>
        <v>2</v>
      </c>
      <c r="BO37" s="98">
        <f>IF(BO$5="", "", IFERROR(VLOOKUP(BO$5, PROGRAM_DIRECTORY!$A$2:$H$334, 8, FALSE), "-"))</f>
        <v>4</v>
      </c>
      <c r="BP37" s="98" t="str">
        <f>IF(BP$5="", "", IFERROR(VLOOKUP(BP$5, PROGRAM_DIRECTORY!$A$2:$H$334, 8, FALSE), "-"))</f>
        <v/>
      </c>
      <c r="BQ37" s="98" t="str">
        <f>IF(BQ$5="", "", IFERROR(VLOOKUP(BQ$5, PROGRAM_DIRECTORY!$A$2:$H$334, 8, FALSE), "-"))</f>
        <v/>
      </c>
      <c r="BR37" s="98" t="str">
        <f>IF(BR$5="", "", IFERROR(VLOOKUP(BR$5, PROGRAM_DIRECTORY!$A$2:$H$334, 8, FALSE), "-"))</f>
        <v/>
      </c>
      <c r="BS37" s="98" t="str">
        <f>IF(BS$5="", "", IFERROR(VLOOKUP(BS$5, PROGRAM_DIRECTORY!$A$2:$H$334, 8, FALSE), "-"))</f>
        <v/>
      </c>
      <c r="BT37" s="98" t="str">
        <f>IF(BT$5="", "", IFERROR(VLOOKUP(BT$5, PROGRAM_DIRECTORY!$A$2:$H$334, 8, FALSE), "-"))</f>
        <v/>
      </c>
      <c r="BU37" s="98" t="str">
        <f>IF(BU$5="", "", IFERROR(VLOOKUP(BU$5, PROGRAM_DIRECTORY!$A$2:$H$334, 8, FALSE), "-"))</f>
        <v/>
      </c>
      <c r="BV37" s="98" t="str">
        <f>IF(BV$5="", "", IFERROR(VLOOKUP(BV$5, PROGRAM_DIRECTORY!$A$2:$H$334, 8, FALSE), "-"))</f>
        <v/>
      </c>
      <c r="BW37" s="98" t="str">
        <f>IF(BW$5="", "", IFERROR(VLOOKUP(BW$5, PROGRAM_DIRECTORY!$A$2:$H$334, 8, FALSE), "-"))</f>
        <v/>
      </c>
      <c r="BX37" s="98" t="str">
        <f>IF(BX$5="", "", IFERROR(VLOOKUP(BX$5, PROGRAM_DIRECTORY!$A$2:$H$334, 8, FALSE), "-"))</f>
        <v/>
      </c>
      <c r="BY37" s="98" t="str">
        <f>IF(BY$5="", "", IFERROR(VLOOKUP(BY$5, PROGRAM_DIRECTORY!$A$2:$H$334, 8, FALSE), "-"))</f>
        <v/>
      </c>
      <c r="BZ37" s="98" t="str">
        <f>IF(BZ$5="", "", IFERROR(VLOOKUP(BZ$5, PROGRAM_DIRECTORY!$A$2:$H$334, 8, FALSE), "-"))</f>
        <v/>
      </c>
      <c r="CA37" s="98" t="str">
        <f>IF(CA$5="", "", IFERROR(VLOOKUP(CA$5, PROGRAM_DIRECTORY!$A$2:$H$334, 8, FALSE), "-"))</f>
        <v/>
      </c>
      <c r="CB37" s="98" t="str">
        <f>IF(CB$5="", "", IFERROR(VLOOKUP(CB$5, PROGRAM_DIRECTORY!$A$2:$H$334, 8, FALSE), "-"))</f>
        <v/>
      </c>
      <c r="CC37" s="98"/>
      <c r="CD37" s="98"/>
      <c r="CE37" s="98"/>
      <c r="CF37" s="98"/>
      <c r="CG37" s="98"/>
      <c r="CH37" s="98"/>
      <c r="CI37" s="98"/>
      <c r="CJ37" s="98"/>
      <c r="CK37" s="98"/>
    </row>
    <row r="38">
      <c r="A38" s="96" t="s">
        <v>951</v>
      </c>
      <c r="B38" s="97"/>
      <c r="C38" s="97"/>
      <c r="D38" s="97"/>
      <c r="E38" s="97"/>
      <c r="F38" s="97"/>
      <c r="G38" s="98" t="str">
        <f t="shared" ref="G38:CB38" si="2">IF(G$5="", "", IF(G$37="-", IF(G$36=0, "OPEN", "VALID"), IF(G$36&gt;G$37, "QUOTA EXCEEDED", IF(G$36=G$37, "VALID", IF(G$36=0, "OPEN", "PENDING")))))</f>
        <v>OPEN</v>
      </c>
      <c r="H38" s="98" t="str">
        <f t="shared" si="2"/>
        <v>OPEN</v>
      </c>
      <c r="I38" s="98" t="str">
        <f t="shared" si="2"/>
        <v>OPEN</v>
      </c>
      <c r="J38" s="98" t="str">
        <f t="shared" si="2"/>
        <v>OPEN</v>
      </c>
      <c r="K38" s="98" t="str">
        <f t="shared" si="2"/>
        <v>OPEN</v>
      </c>
      <c r="L38" s="98" t="str">
        <f t="shared" si="2"/>
        <v>OPEN</v>
      </c>
      <c r="M38" s="98" t="str">
        <f t="shared" si="2"/>
        <v>OPEN</v>
      </c>
      <c r="N38" s="98" t="str">
        <f t="shared" si="2"/>
        <v>OPEN</v>
      </c>
      <c r="O38" s="98" t="str">
        <f t="shared" si="2"/>
        <v>OPEN</v>
      </c>
      <c r="P38" s="98" t="str">
        <f t="shared" si="2"/>
        <v>OPEN</v>
      </c>
      <c r="Q38" s="98" t="str">
        <f t="shared" si="2"/>
        <v>OPEN</v>
      </c>
      <c r="R38" s="98" t="str">
        <f t="shared" si="2"/>
        <v>OPEN</v>
      </c>
      <c r="S38" s="98" t="str">
        <f t="shared" si="2"/>
        <v>OPEN</v>
      </c>
      <c r="T38" s="98" t="str">
        <f t="shared" si="2"/>
        <v>OPEN</v>
      </c>
      <c r="U38" s="98" t="str">
        <f t="shared" si="2"/>
        <v>OPEN</v>
      </c>
      <c r="V38" s="98" t="str">
        <f t="shared" si="2"/>
        <v>OPEN</v>
      </c>
      <c r="W38" s="98" t="str">
        <f t="shared" si="2"/>
        <v>OPEN</v>
      </c>
      <c r="X38" s="98" t="str">
        <f t="shared" si="2"/>
        <v>OPEN</v>
      </c>
      <c r="Y38" s="98" t="str">
        <f t="shared" si="2"/>
        <v>OPEN</v>
      </c>
      <c r="Z38" s="98" t="str">
        <f t="shared" si="2"/>
        <v>OPEN</v>
      </c>
      <c r="AA38" s="98" t="str">
        <f t="shared" si="2"/>
        <v>OPEN</v>
      </c>
      <c r="AB38" s="98" t="str">
        <f t="shared" si="2"/>
        <v>OPEN</v>
      </c>
      <c r="AC38" s="98" t="str">
        <f t="shared" si="2"/>
        <v>OPEN</v>
      </c>
      <c r="AD38" s="98" t="str">
        <f t="shared" si="2"/>
        <v>OPEN</v>
      </c>
      <c r="AE38" s="98" t="str">
        <f t="shared" si="2"/>
        <v>OPEN</v>
      </c>
      <c r="AF38" s="98" t="str">
        <f t="shared" si="2"/>
        <v>OPEN</v>
      </c>
      <c r="AG38" s="98" t="str">
        <f t="shared" si="2"/>
        <v>OPEN</v>
      </c>
      <c r="AH38" s="98" t="str">
        <f t="shared" si="2"/>
        <v>OPEN</v>
      </c>
      <c r="AI38" s="98" t="str">
        <f t="shared" si="2"/>
        <v>OPEN</v>
      </c>
      <c r="AJ38" s="98" t="str">
        <f t="shared" si="2"/>
        <v>OPEN</v>
      </c>
      <c r="AK38" s="98" t="str">
        <f t="shared" si="2"/>
        <v>OPEN</v>
      </c>
      <c r="AL38" s="98" t="str">
        <f t="shared" si="2"/>
        <v>OPEN</v>
      </c>
      <c r="AM38" s="98" t="str">
        <f t="shared" si="2"/>
        <v>OPEN</v>
      </c>
      <c r="AN38" s="98" t="str">
        <f t="shared" si="2"/>
        <v>OPEN</v>
      </c>
      <c r="AO38" s="98" t="str">
        <f t="shared" si="2"/>
        <v>OPEN</v>
      </c>
      <c r="AP38" s="98" t="str">
        <f t="shared" si="2"/>
        <v>OPEN</v>
      </c>
      <c r="AQ38" s="98" t="str">
        <f t="shared" si="2"/>
        <v>OPEN</v>
      </c>
      <c r="AR38" s="98" t="str">
        <f t="shared" si="2"/>
        <v>OPEN</v>
      </c>
      <c r="AS38" s="98" t="str">
        <f t="shared" si="2"/>
        <v>OPEN</v>
      </c>
      <c r="AT38" s="98" t="str">
        <f t="shared" si="2"/>
        <v>OPEN</v>
      </c>
      <c r="AU38" s="98" t="str">
        <f t="shared" si="2"/>
        <v>OPEN</v>
      </c>
      <c r="AV38" s="98" t="str">
        <f t="shared" si="2"/>
        <v>OPEN</v>
      </c>
      <c r="AW38" s="98" t="str">
        <f t="shared" si="2"/>
        <v>OPEN</v>
      </c>
      <c r="AX38" s="98" t="str">
        <f t="shared" si="2"/>
        <v>OPEN</v>
      </c>
      <c r="AY38" s="98" t="str">
        <f t="shared" si="2"/>
        <v>OPEN</v>
      </c>
      <c r="AZ38" s="98" t="str">
        <f t="shared" si="2"/>
        <v>OPEN</v>
      </c>
      <c r="BA38" s="98" t="str">
        <f t="shared" si="2"/>
        <v>OPEN</v>
      </c>
      <c r="BB38" s="98" t="str">
        <f t="shared" si="2"/>
        <v>OPEN</v>
      </c>
      <c r="BC38" s="98" t="str">
        <f t="shared" si="2"/>
        <v>OPEN</v>
      </c>
      <c r="BD38" s="98" t="str">
        <f t="shared" si="2"/>
        <v>OPEN</v>
      </c>
      <c r="BE38" s="98" t="str">
        <f t="shared" si="2"/>
        <v>OPEN</v>
      </c>
      <c r="BF38" s="98" t="str">
        <f t="shared" si="2"/>
        <v>OPEN</v>
      </c>
      <c r="BG38" s="98" t="str">
        <f t="shared" si="2"/>
        <v>OPEN</v>
      </c>
      <c r="BH38" s="98" t="str">
        <f t="shared" si="2"/>
        <v>OPEN</v>
      </c>
      <c r="BI38" s="98" t="str">
        <f t="shared" si="2"/>
        <v>OPEN</v>
      </c>
      <c r="BJ38" s="98" t="str">
        <f t="shared" si="2"/>
        <v>OPEN</v>
      </c>
      <c r="BK38" s="98" t="str">
        <f t="shared" si="2"/>
        <v>OPEN</v>
      </c>
      <c r="BL38" s="98" t="str">
        <f t="shared" si="2"/>
        <v>OPEN</v>
      </c>
      <c r="BM38" s="98" t="str">
        <f t="shared" si="2"/>
        <v>OPEN</v>
      </c>
      <c r="BN38" s="98" t="str">
        <f t="shared" si="2"/>
        <v>OPEN</v>
      </c>
      <c r="BO38" s="98" t="str">
        <f t="shared" si="2"/>
        <v>OPEN</v>
      </c>
      <c r="BP38" s="98" t="str">
        <f t="shared" si="2"/>
        <v/>
      </c>
      <c r="BQ38" s="98" t="str">
        <f t="shared" si="2"/>
        <v/>
      </c>
      <c r="BR38" s="98" t="str">
        <f t="shared" si="2"/>
        <v/>
      </c>
      <c r="BS38" s="98" t="str">
        <f t="shared" si="2"/>
        <v/>
      </c>
      <c r="BT38" s="98" t="str">
        <f t="shared" si="2"/>
        <v/>
      </c>
      <c r="BU38" s="98" t="str">
        <f t="shared" si="2"/>
        <v/>
      </c>
      <c r="BV38" s="98" t="str">
        <f t="shared" si="2"/>
        <v/>
      </c>
      <c r="BW38" s="98" t="str">
        <f t="shared" si="2"/>
        <v/>
      </c>
      <c r="BX38" s="98" t="str">
        <f t="shared" si="2"/>
        <v/>
      </c>
      <c r="BY38" s="98" t="str">
        <f t="shared" si="2"/>
        <v/>
      </c>
      <c r="BZ38" s="98" t="str">
        <f t="shared" si="2"/>
        <v/>
      </c>
      <c r="CA38" s="98" t="str">
        <f t="shared" si="2"/>
        <v/>
      </c>
      <c r="CB38" s="98" t="str">
        <f t="shared" si="2"/>
        <v/>
      </c>
      <c r="CC38" s="98"/>
      <c r="CD38" s="98"/>
      <c r="CE38" s="98"/>
      <c r="CF38" s="98"/>
      <c r="CG38" s="98"/>
      <c r="CH38" s="98"/>
      <c r="CI38" s="98"/>
      <c r="CJ38" s="98"/>
      <c r="CK38" s="98"/>
    </row>
    <row r="44">
      <c r="J44" s="70" t="s">
        <v>952</v>
      </c>
    </row>
  </sheetData>
  <conditionalFormatting sqref="F7:F35">
    <cfRule type="cellIs" dxfId="9" priority="1" stopIfTrue="1" operator="equal">
      <formula>"Compliant"</formula>
    </cfRule>
  </conditionalFormatting>
  <conditionalFormatting sqref="F7:F35">
    <cfRule type="containsText" dxfId="10" priority="2" stopIfTrue="1" operator="containsText" text="Min 1 Required">
      <formula>NOT(ISERROR(SEARCH(("Min 1 Required"),(F7))))</formula>
    </cfRule>
  </conditionalFormatting>
  <conditionalFormatting sqref="F7:F35">
    <cfRule type="containsText" dxfId="11" priority="3" stopIfTrue="1" operator="containsText" text="Quota Exceeded">
      <formula>NOT(ISERROR(SEARCH(("Quota Exceeded"),(F7))))</formula>
    </cfRule>
  </conditionalFormatting>
  <conditionalFormatting sqref="G36:CB38">
    <cfRule type="expression" dxfId="11" priority="4" stopIfTrue="1">
      <formula>AND(LEN(G$5)&gt;0, ISNUMBER(G$37), G$36&gt;G$37)</formula>
    </cfRule>
  </conditionalFormatting>
  <conditionalFormatting sqref="G36:CB38">
    <cfRule type="expression" dxfId="9" priority="5" stopIfTrue="1">
      <formula>AND(LEN(G$5)&gt;0, IF(ISNUMBER(G$37), G$36=G$37, G$36&gt;0))</formula>
    </cfRule>
  </conditionalFormatting>
  <conditionalFormatting sqref="G36:CB38">
    <cfRule type="expression" dxfId="10" priority="6" stopIfTrue="1">
      <formula>AND(LEN(G$5)&gt;0, IF(ISNUMBER(G$37), G$36&lt;G$37, G$36=0))</formula>
    </cfRule>
  </conditionalFormatting>
  <conditionalFormatting sqref="G7:CK35">
    <cfRule type="cellIs" dxfId="12" priority="7" stopIfTrue="1" operator="equal">
      <formula>"✓"</formula>
    </cfRule>
  </conditionalFormatting>
  <conditionalFormatting sqref="G7:CK35">
    <cfRule type="cellIs" dxfId="12" priority="8" stopIfTrue="1" operator="equal">
      <formula>"Y"</formula>
    </cfRule>
  </conditionalFormatting>
  <dataValidations>
    <dataValidation type="list" allowBlank="1" showErrorMessage="1" sqref="B1">
      <formula1>"BIDĀYAH,ʾŪLĀ,THĀNIYAH,THĀNAWIYYAH,ʿĀLIYAH,KULLIYYAH"</formula1>
    </dataValidation>
    <dataValidation type="list" allowBlank="1" showErrorMessage="1" sqref="B2">
      <formula1>"All Programs,Stage,Non-Stage,Sports"</formula1>
    </dataValidation>
    <dataValidation type="list" allowBlank="1" showErrorMessage="1" sqref="B3">
      <formula1>"TEAM A,TEAM B,TEAM C,TEAM D"</formula1>
    </dataValidation>
  </dataValidations>
  <drawing r:id="rId1"/>
  <tableParts count="1">
    <tablePart r:id="rId3"/>
  </tableParts>
</worksheet>
</file>